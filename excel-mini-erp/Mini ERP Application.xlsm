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marens-pc\Desktop\excel-mini-erp\"/>
    </mc:Choice>
  </mc:AlternateContent>
  <xr:revisionPtr revIDLastSave="0" documentId="13_ncr:1_{20295DF9-B383-4246-98F2-7A6335A7599D}" xr6:coauthVersionLast="47" xr6:coauthVersionMax="47" xr10:uidLastSave="{00000000-0000-0000-0000-000000000000}"/>
  <bookViews>
    <workbookView xWindow="2370" yWindow="465" windowWidth="25425" windowHeight="14145" tabRatio="764" xr2:uid="{A8C55C25-4BB0-4985-8503-EDD86B4866DA}"/>
  </bookViews>
  <sheets>
    <sheet name="ERP" sheetId="1" r:id="rId1"/>
    <sheet name="Invoices" sheetId="2" r:id="rId2"/>
    <sheet name="Lists" sheetId="12" r:id="rId3"/>
    <sheet name="Invoice Items" sheetId="4" r:id="rId4"/>
    <sheet name="Purchases" sheetId="5" r:id="rId5"/>
    <sheet name="PurchItems" sheetId="6" r:id="rId6"/>
    <sheet name="Customers" sheetId="9" r:id="rId7"/>
    <sheet name="Inventory Items" sheetId="10" r:id="rId8"/>
    <sheet name="Transactions" sheetId="11" r:id="rId9"/>
  </sheets>
  <externalReferences>
    <externalReference r:id="rId10"/>
    <externalReference r:id="rId11"/>
    <externalReference r:id="rId12"/>
  </externalReferences>
  <definedNames>
    <definedName name="_xlnm._FilterDatabase" localSheetId="1" hidden="1">Invoices!$B$2:$C$8</definedName>
    <definedName name="_xlnm._FilterDatabase" localSheetId="2" hidden="1">Lists!$B$2:$C$8</definedName>
    <definedName name="_xlnm._FilterDatabase" localSheetId="8" hidden="1">Transactions!$C$3:$D$11</definedName>
    <definedName name="Accounts">OFFSET(Lists!$C$5,,,COUNTA(Lists!$C$5:$C$30),1)</definedName>
    <definedName name="Category">OFFSET(Lists!$F$4,,,COUNTA(Lists!$F$4:$F$30),1)</definedName>
    <definedName name="_xlnm.Criteria">Transactions!$K$2:$K$3</definedName>
    <definedName name="Customers">OFFSET(Customers!$B$3,,,COUNTA(Customers!$B$3:$B9999),1)</definedName>
    <definedName name="EndDate">ERP!$AE$3</definedName>
    <definedName name="_xlnm.Extract" localSheetId="1">Invoices!$J$2</definedName>
    <definedName name="_xlnm.Extract" localSheetId="2">Lists!$J$2</definedName>
    <definedName name="_xlnm.Extract" localSheetId="8">Transactions!$P$2</definedName>
    <definedName name="Inv_ItemName">OFFSET('Invoice Items'!$B$2,1,,COUNTA('Invoice Items'!$A$2:$A$999)-1,1)</definedName>
    <definedName name="Inv_ItemQty">OFFSET('Invoice Items'!$D$2,1,,COUNTA('Invoice Items'!$A$2:$A$999)-1,1)</definedName>
    <definedName name="InvNumb">OFFSET([1]Inovice!$A$3,,,COUNTA([2]Invoice!$A$3:$A$9999),1)</definedName>
    <definedName name="Items">OFFSET('Inventory Items'!$A$3,,,COUNTA('Inventory Items'!$A$3:$A$9999),1)</definedName>
    <definedName name="Purch_ItemName">OFFSET(PurchItems!$B$2,1,,COUNTA(PurchItems!$A$2:$A$9999)-1,1)</definedName>
    <definedName name="Purch_ItemQty">OFFSET(PurchItems!$D$2,1,,COUNTA(PurchItems!$A$2:$A$9999)-1,1)</definedName>
    <definedName name="PurchNumb">OFFSET(Purchases!$A$3,,,COUNTA(Purchases!$A$3:$A$9999),1)</definedName>
    <definedName name="StartDate">ERP!$AC$3</definedName>
    <definedName name="Trans_Acct">OFFSET([3]Transcations!$C$3,1,,COUNTA(Transactions!$A$3:$A$9999)-1,1)</definedName>
    <definedName name="Trans_Amount">OFFSET(Transactions!$B$3,1,,COUNTA(Transactions!$A$3:$A$9999)-1,1)</definedName>
    <definedName name="Trans_Date">OFFSET(Transactions!$A$3,1,,COUNTA(Transactions!$A$3:$A$9999)-1,1)</definedName>
    <definedName name="Vendors">OFFSET(Lists!$H$4,,,COUNTA(Lists!$H$4:$H$30),1)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10" l="1" a="1"/>
  <c r="J4" i="10" s="1"/>
  <c r="J5" i="10" a="1"/>
  <c r="J5" i="10" s="1"/>
  <c r="J6" i="10" a="1"/>
  <c r="J6" i="10" s="1"/>
  <c r="J7" i="10" a="1"/>
  <c r="J7" i="10" s="1"/>
  <c r="J8" i="10" a="1"/>
  <c r="J8" i="10" s="1"/>
  <c r="J9" i="10" a="1"/>
  <c r="J9" i="10" s="1"/>
  <c r="J10" i="10" a="1"/>
  <c r="J10" i="10" s="1"/>
  <c r="J11" i="10" a="1"/>
  <c r="J11" i="10" s="1"/>
  <c r="J12" i="10" a="1"/>
  <c r="J12" i="10" s="1"/>
  <c r="J13" i="10" a="1"/>
  <c r="J13" i="10" s="1"/>
  <c r="J14" i="10" a="1"/>
  <c r="J14" i="10" s="1"/>
  <c r="J15" i="10" a="1"/>
  <c r="J15" i="10" s="1"/>
  <c r="J3" i="10" a="1"/>
  <c r="J3" i="10" s="1"/>
  <c r="I4" i="10" a="1"/>
  <c r="I4" i="10" s="1"/>
  <c r="I5" i="10" a="1"/>
  <c r="I5" i="10" s="1"/>
  <c r="I6" i="10" a="1"/>
  <c r="I6" i="10" s="1"/>
  <c r="I7" i="10" a="1"/>
  <c r="I7" i="10" s="1"/>
  <c r="I8" i="10" a="1"/>
  <c r="I8" i="10" s="1"/>
  <c r="I9" i="10" a="1"/>
  <c r="I9" i="10" s="1"/>
  <c r="I10" i="10" a="1"/>
  <c r="I10" i="10" s="1"/>
  <c r="I11" i="10" a="1"/>
  <c r="I11" i="10" s="1"/>
  <c r="I12" i="10" a="1"/>
  <c r="I12" i="10" s="1"/>
  <c r="I13" i="10" a="1"/>
  <c r="I13" i="10" s="1"/>
  <c r="I14" i="10" a="1"/>
  <c r="I14" i="10" s="1"/>
  <c r="I15" i="10" a="1"/>
  <c r="I15" i="10" s="1"/>
  <c r="I3" i="10" a="1"/>
  <c r="I3" i="10" s="1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I3" i="2"/>
  <c r="H3" i="2"/>
  <c r="B7" i="1"/>
  <c r="B6" i="1"/>
  <c r="F4" i="6"/>
  <c r="F5" i="6"/>
  <c r="F6" i="6"/>
  <c r="F7" i="6"/>
  <c r="F8" i="6"/>
  <c r="F9" i="6"/>
  <c r="F10" i="6"/>
  <c r="F11" i="6"/>
  <c r="F3" i="6"/>
  <c r="F4" i="4"/>
  <c r="F5" i="4"/>
  <c r="F6" i="4"/>
  <c r="F7" i="4"/>
  <c r="F8" i="4"/>
  <c r="F9" i="4"/>
  <c r="F10" i="4"/>
  <c r="F11" i="4"/>
  <c r="F12" i="4"/>
  <c r="F13" i="4"/>
  <c r="F14" i="4"/>
  <c r="F15" i="4"/>
  <c r="F3" i="4"/>
  <c r="K10" i="10" l="1"/>
  <c r="K9" i="10"/>
  <c r="K5" i="10"/>
  <c r="K12" i="10"/>
  <c r="K7" i="10"/>
  <c r="K13" i="10"/>
  <c r="K6" i="10"/>
  <c r="K4" i="10"/>
  <c r="K11" i="10"/>
  <c r="K14" i="10"/>
  <c r="K3" i="10"/>
  <c r="K15" i="10"/>
  <c r="K8" i="10"/>
  <c r="X5" i="1"/>
  <c r="Q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<sst xmlns="http://schemas.openxmlformats.org/spreadsheetml/2006/main" count="575" uniqueCount="331">
  <si>
    <t>Acct Type</t>
  </si>
  <si>
    <t>Sel. Rep. Row</t>
  </si>
  <si>
    <t>Next Inv. ID</t>
  </si>
  <si>
    <t>Next PO ID</t>
  </si>
  <si>
    <t>MINI ERP APPLICATION</t>
  </si>
  <si>
    <t>INCOME &amp; EXPENSES</t>
  </si>
  <si>
    <t>INVOICING &amp; SALES</t>
  </si>
  <si>
    <t>REPORTS &amp; GRAPHS</t>
  </si>
  <si>
    <t>Catergory</t>
  </si>
  <si>
    <t>Date</t>
  </si>
  <si>
    <t>Account</t>
  </si>
  <si>
    <t>Amount</t>
  </si>
  <si>
    <t>Memo</t>
  </si>
  <si>
    <t>Customer Name</t>
  </si>
  <si>
    <t>Invoice Total:</t>
  </si>
  <si>
    <t>Item</t>
  </si>
  <si>
    <t>Description</t>
  </si>
  <si>
    <t>Qty</t>
  </si>
  <si>
    <t>Total</t>
  </si>
  <si>
    <t>Vender Name</t>
  </si>
  <si>
    <t>Purchase Total:</t>
  </si>
  <si>
    <t>Sales By Customer</t>
  </si>
  <si>
    <t>Inventory Stock Report</t>
  </si>
  <si>
    <t>Income &amp; Expenses</t>
  </si>
  <si>
    <t>From</t>
  </si>
  <si>
    <t>To</t>
  </si>
  <si>
    <t>Invoice List</t>
  </si>
  <si>
    <t>Inv. #</t>
  </si>
  <si>
    <t>Customer</t>
  </si>
  <si>
    <t>Humble Grape</t>
  </si>
  <si>
    <t>Majestic Wine</t>
  </si>
  <si>
    <t>Berry Bros. &amp; Rudd</t>
  </si>
  <si>
    <t>Waitrose Cellar</t>
  </si>
  <si>
    <t>Total Sales</t>
  </si>
  <si>
    <t>Customer Sales</t>
  </si>
  <si>
    <t>Interest Earned</t>
  </si>
  <si>
    <t>Rental Income</t>
  </si>
  <si>
    <t>Entertainment</t>
  </si>
  <si>
    <t>Meals</t>
  </si>
  <si>
    <t>Office Lease</t>
  </si>
  <si>
    <t>Supplies</t>
  </si>
  <si>
    <t>Utilities</t>
  </si>
  <si>
    <t>Type</t>
  </si>
  <si>
    <t>Income</t>
  </si>
  <si>
    <t>Expense</t>
  </si>
  <si>
    <t>Family</t>
  </si>
  <si>
    <t>Categories</t>
  </si>
  <si>
    <t>Groceries &amp; Food</t>
  </si>
  <si>
    <t>Office</t>
  </si>
  <si>
    <t>Outside Job</t>
  </si>
  <si>
    <t>Personal</t>
  </si>
  <si>
    <t>Vendors</t>
  </si>
  <si>
    <t>Ace Hardward</t>
  </si>
  <si>
    <t>Ceramics Plus</t>
  </si>
  <si>
    <t>Fredders Tile</t>
  </si>
  <si>
    <t>Home Depot</t>
  </si>
  <si>
    <t>Johnson Plubming</t>
  </si>
  <si>
    <t>INVOICE ITEMS</t>
  </si>
  <si>
    <t>QTY</t>
  </si>
  <si>
    <t>VIA TERRA BLANC</t>
  </si>
  <si>
    <t xml:space="preserve">CRISTOM </t>
  </si>
  <si>
    <t>CHAT FOU</t>
  </si>
  <si>
    <t>LA TRIBUNA</t>
  </si>
  <si>
    <t>RODA</t>
  </si>
  <si>
    <t>FOUR VINES</t>
  </si>
  <si>
    <t>ZINFANDEL</t>
  </si>
  <si>
    <t>RIOJA</t>
  </si>
  <si>
    <t>GRENACHE</t>
  </si>
  <si>
    <t>CHARDONNAY</t>
  </si>
  <si>
    <t>Purchases List</t>
  </si>
  <si>
    <t>PO. #</t>
  </si>
  <si>
    <t>Vendor</t>
  </si>
  <si>
    <t>Dionysus Wines</t>
  </si>
  <si>
    <t>Uncorked Ltd</t>
  </si>
  <si>
    <t>Laithwaites</t>
  </si>
  <si>
    <t>PURCHASE ITEMS</t>
  </si>
  <si>
    <t>Purh. #</t>
  </si>
  <si>
    <t>Customer List</t>
  </si>
  <si>
    <t>Cust ID</t>
  </si>
  <si>
    <t>Name</t>
  </si>
  <si>
    <t>Office #</t>
  </si>
  <si>
    <t>Mobile #</t>
  </si>
  <si>
    <t>Email</t>
  </si>
  <si>
    <t>Status</t>
  </si>
  <si>
    <t>Website</t>
  </si>
  <si>
    <t>Address</t>
  </si>
  <si>
    <t>City</t>
  </si>
  <si>
    <t>Zip</t>
  </si>
  <si>
    <t>1</t>
  </si>
  <si>
    <t>Vino Veritas Co.</t>
  </si>
  <si>
    <t>(707) 555-0100</t>
  </si>
  <si>
    <t>(707) 555-0200</t>
  </si>
  <si>
    <t>Distributor</t>
  </si>
  <si>
    <t>contact@vinoveritas.com</t>
  </si>
  <si>
    <t>Active</t>
  </si>
  <si>
    <t>www.vinoveritas.com</t>
  </si>
  <si>
    <t>101 Vineyard Way</t>
  </si>
  <si>
    <t>Napa</t>
  </si>
  <si>
    <t>94558</t>
  </si>
  <si>
    <t>2</t>
  </si>
  <si>
    <t>Grapevine Imports</t>
  </si>
  <si>
    <t>(707) 555-0101</t>
  </si>
  <si>
    <t>(707) 555-0201</t>
  </si>
  <si>
    <t>Importer</t>
  </si>
  <si>
    <t>info@grapevineimports.net</t>
  </si>
  <si>
    <t>www.grapevineimports.net</t>
  </si>
  <si>
    <t>88 Barrel St</t>
  </si>
  <si>
    <t>New York</t>
  </si>
  <si>
    <t>10001</t>
  </si>
  <si>
    <t>3</t>
  </si>
  <si>
    <t>Somm Select</t>
  </si>
  <si>
    <t>(707) 555-0102</t>
  </si>
  <si>
    <t>(707) 555-0202</t>
  </si>
  <si>
    <t>Retailer</t>
  </si>
  <si>
    <t>support@sommselect.com</t>
  </si>
  <si>
    <t>Inactive</t>
  </si>
  <si>
    <t>www.sommselect.com</t>
  </si>
  <si>
    <t>42 Decanter Blvd</t>
  </si>
  <si>
    <t>San Francisco</t>
  </si>
  <si>
    <t>94107</t>
  </si>
  <si>
    <t>4</t>
  </si>
  <si>
    <t>Chateau Elegance</t>
  </si>
  <si>
    <t>(707) 555-0103</t>
  </si>
  <si>
    <t>(707) 555-0203</t>
  </si>
  <si>
    <t>Winery</t>
  </si>
  <si>
    <t>info@chateauelegance.com</t>
  </si>
  <si>
    <t>www.chateauelegance.com</t>
  </si>
  <si>
    <t>120 Terroir Lane</t>
  </si>
  <si>
    <t>Portland</t>
  </si>
  <si>
    <t>97209</t>
  </si>
  <si>
    <t>5</t>
  </si>
  <si>
    <t>Cork &amp; Barrel Ltd.</t>
  </si>
  <si>
    <t>(707) 555-0104</t>
  </si>
  <si>
    <t>(707) 555-0204</t>
  </si>
  <si>
    <t>Wholesaler</t>
  </si>
  <si>
    <t>hello@corknbarrel.co</t>
  </si>
  <si>
    <t>www.corknbarrel.co</t>
  </si>
  <si>
    <t>789 Oak Cask Dr</t>
  </si>
  <si>
    <t>Chicago</t>
  </si>
  <si>
    <t>60611</t>
  </si>
  <si>
    <t>6</t>
  </si>
  <si>
    <t>Crimson Cellars</t>
  </si>
  <si>
    <t>(707) 555-0105</t>
  </si>
  <si>
    <t>(707) 555-0205</t>
  </si>
  <si>
    <t>info@crimsoncellars.com</t>
  </si>
  <si>
    <t>www.crimsoncellars.com</t>
  </si>
  <si>
    <t>55 Cellar Row</t>
  </si>
  <si>
    <t>Paso Robles</t>
  </si>
  <si>
    <t>93446</t>
  </si>
  <si>
    <t>7</t>
  </si>
  <si>
    <t>Harvest Moon Wines</t>
  </si>
  <si>
    <t>(707) 555-0106</t>
  </si>
  <si>
    <t>(707) 555-0206</t>
  </si>
  <si>
    <t>hello@harvestmoonwines.org</t>
  </si>
  <si>
    <t>www.harvestmoonwines.org</t>
  </si>
  <si>
    <t>333 Moonlight Ave</t>
  </si>
  <si>
    <t>Santa Rosa</t>
  </si>
  <si>
    <t>95401</t>
  </si>
  <si>
    <t>8</t>
  </si>
  <si>
    <t>Golden Grape Distributors</t>
  </si>
  <si>
    <t>(707) 555-0107</t>
  </si>
  <si>
    <t>(707) 555-0207</t>
  </si>
  <si>
    <t>sales@goldengrape.com</t>
  </si>
  <si>
    <t>www.goldengrape.com</t>
  </si>
  <si>
    <t>12 Golden St</t>
  </si>
  <si>
    <t>Sacramento</t>
  </si>
  <si>
    <t>95814</t>
  </si>
  <si>
    <t>9</t>
  </si>
  <si>
    <t>The Wine Loft</t>
  </si>
  <si>
    <t>(707) 555-0108</t>
  </si>
  <si>
    <t>(707) 555-0208</t>
  </si>
  <si>
    <t>contact@wineloft.net</t>
  </si>
  <si>
    <t>www.wineloft.net</t>
  </si>
  <si>
    <t>67 Lofty Hill Rd</t>
  </si>
  <si>
    <t>Seattle</t>
  </si>
  <si>
    <t>98101</t>
  </si>
  <si>
    <t>10</t>
  </si>
  <si>
    <t>Barrel &amp; Vine</t>
  </si>
  <si>
    <t>(707) 555-0109</t>
  </si>
  <si>
    <t>(707) 555-0209</t>
  </si>
  <si>
    <t>hello@barrelandvine.co</t>
  </si>
  <si>
    <t>www.barrelandvine.co</t>
  </si>
  <si>
    <t>78 Barrel Loop</t>
  </si>
  <si>
    <t>Healdsburg</t>
  </si>
  <si>
    <t>95448</t>
  </si>
  <si>
    <t>11</t>
  </si>
  <si>
    <t>Taste of Tuscany</t>
  </si>
  <si>
    <t>(707) 555-0110</t>
  </si>
  <si>
    <t>(707) 555-0210</t>
  </si>
  <si>
    <t>tuscany@tastewine.it</t>
  </si>
  <si>
    <t>www.tastewine.it</t>
  </si>
  <si>
    <t>21 Tuscany Way</t>
  </si>
  <si>
    <t>Florence</t>
  </si>
  <si>
    <t>50123</t>
  </si>
  <si>
    <t>12</t>
  </si>
  <si>
    <t>Oak Ridge Wines</t>
  </si>
  <si>
    <t>(707) 555-0111</t>
  </si>
  <si>
    <t>(707) 555-0211</t>
  </si>
  <si>
    <t>support@oakridgewines.com</t>
  </si>
  <si>
    <t>www.oakridgewines.com</t>
  </si>
  <si>
    <t>404 Ridgeview Rd</t>
  </si>
  <si>
    <t>Sonoma</t>
  </si>
  <si>
    <t>95476</t>
  </si>
  <si>
    <t>13</t>
  </si>
  <si>
    <t>Vin Rouge Traders</t>
  </si>
  <si>
    <t>(707) 555-0112</t>
  </si>
  <si>
    <t>(707) 555-0212</t>
  </si>
  <si>
    <t>contact@vinrougetraders.com</t>
  </si>
  <si>
    <t>www.vinrougetraders.com</t>
  </si>
  <si>
    <t>8 Rue de Vin</t>
  </si>
  <si>
    <t>Paris</t>
  </si>
  <si>
    <t>75001</t>
  </si>
  <si>
    <t>14</t>
  </si>
  <si>
    <t>Epicurean Vintners</t>
  </si>
  <si>
    <t>(707) 555-0113</t>
  </si>
  <si>
    <t>(707) 555-0213</t>
  </si>
  <si>
    <t>info@epicureanvintners.com</t>
  </si>
  <si>
    <t>www.epicureanvintners.com</t>
  </si>
  <si>
    <t>99 Gourmet Ln</t>
  </si>
  <si>
    <t>Austin</t>
  </si>
  <si>
    <t>78701</t>
  </si>
  <si>
    <t>15</t>
  </si>
  <si>
    <t>Sunset Estates</t>
  </si>
  <si>
    <t>(707) 555-0114</t>
  </si>
  <si>
    <t>(707) 555-0214</t>
  </si>
  <si>
    <t>hello@sunsetestates.com</t>
  </si>
  <si>
    <t>www.sunsetestates.com</t>
  </si>
  <si>
    <t>234 Sunset Blvd</t>
  </si>
  <si>
    <t>Los Angeles</t>
  </si>
  <si>
    <t>90001</t>
  </si>
  <si>
    <t>16</t>
  </si>
  <si>
    <t>Noble Roots Winery</t>
  </si>
  <si>
    <t>(707) 555-0115</t>
  </si>
  <si>
    <t>(707) 555-0215</t>
  </si>
  <si>
    <t>support@nobleroots.com</t>
  </si>
  <si>
    <t>www.nobleroots.com</t>
  </si>
  <si>
    <t>11 Noble Vine Rd</t>
  </si>
  <si>
    <t>Salem</t>
  </si>
  <si>
    <t>97301</t>
  </si>
  <si>
    <t>17</t>
  </si>
  <si>
    <t>Divine Corks</t>
  </si>
  <si>
    <t>(707) 555-0116</t>
  </si>
  <si>
    <t>(707) 555-0216</t>
  </si>
  <si>
    <t>info@divinecorks.co</t>
  </si>
  <si>
    <t>www.divinecorks.co</t>
  </si>
  <si>
    <t>63 Cork St</t>
  </si>
  <si>
    <t>San Diego</t>
  </si>
  <si>
    <t>92101</t>
  </si>
  <si>
    <t>18</t>
  </si>
  <si>
    <t>Vintage Voyage</t>
  </si>
  <si>
    <t>(707) 555-0117</t>
  </si>
  <si>
    <t>(707) 555-0217</t>
  </si>
  <si>
    <t>hello@vintagevoyage.com</t>
  </si>
  <si>
    <t>www.vintagevoyage.com</t>
  </si>
  <si>
    <t>202 Vintage Ave</t>
  </si>
  <si>
    <t>Temecula</t>
  </si>
  <si>
    <t>92591</t>
  </si>
  <si>
    <t>19</t>
  </si>
  <si>
    <t>The Grapevine Society</t>
  </si>
  <si>
    <t>(707) 555-0118</t>
  </si>
  <si>
    <t>(707) 555-0218</t>
  </si>
  <si>
    <t>admin@grapevinesociety.org</t>
  </si>
  <si>
    <t>www.grapevinesociety.org</t>
  </si>
  <si>
    <t>39 Grapevine Blvd</t>
  </si>
  <si>
    <t>Denver</t>
  </si>
  <si>
    <t>80202</t>
  </si>
  <si>
    <t>20</t>
  </si>
  <si>
    <t>Bacchus Bottles</t>
  </si>
  <si>
    <t>(707) 555-0119</t>
  </si>
  <si>
    <t>(707) 555-0219</t>
  </si>
  <si>
    <t>info@bacchusbottles.com</t>
  </si>
  <si>
    <t>www.bacchusbottles.com</t>
  </si>
  <si>
    <t>14 Bacchus Way</t>
  </si>
  <si>
    <t>Santa Barbara</t>
  </si>
  <si>
    <t>93101</t>
  </si>
  <si>
    <t>21</t>
  </si>
  <si>
    <t>Rustic Barrel Co.</t>
  </si>
  <si>
    <t>(707) 555-0120</t>
  </si>
  <si>
    <t>(707) 555-0220</t>
  </si>
  <si>
    <t>sales@rusticbarrel.co</t>
  </si>
  <si>
    <t>www.rusticbarrel.co</t>
  </si>
  <si>
    <t>123 Rustic Rd</t>
  </si>
  <si>
    <t>Boise</t>
  </si>
  <si>
    <t>83702</t>
  </si>
  <si>
    <t>22</t>
  </si>
  <si>
    <t>Estate Pour Decisions</t>
  </si>
  <si>
    <t>(707) 555-0121</t>
  </si>
  <si>
    <t>(707) 555-0221</t>
  </si>
  <si>
    <t>admin@estatepour.com</t>
  </si>
  <si>
    <t>www.estatepour.com</t>
  </si>
  <si>
    <t>77 Estate Circle</t>
  </si>
  <si>
    <t>Orlando</t>
  </si>
  <si>
    <t>32801</t>
  </si>
  <si>
    <t>23</t>
  </si>
  <si>
    <t>Cabernet Collective</t>
  </si>
  <si>
    <t>(707) 555-0122</t>
  </si>
  <si>
    <t>(707) 555-0222</t>
  </si>
  <si>
    <t>info@cabcollective.com</t>
  </si>
  <si>
    <t>www.cabcollective.com</t>
  </si>
  <si>
    <t>303 Cabernet Ln</t>
  </si>
  <si>
    <t>Fresno</t>
  </si>
  <si>
    <t>93711</t>
  </si>
  <si>
    <t>Inventory Item</t>
  </si>
  <si>
    <t>Item Name</t>
  </si>
  <si>
    <t>Item Description</t>
  </si>
  <si>
    <t>Purch. Qty</t>
  </si>
  <si>
    <t>Item Cost</t>
  </si>
  <si>
    <t>Sales Price</t>
  </si>
  <si>
    <t>Purchased</t>
  </si>
  <si>
    <t>Sold</t>
  </si>
  <si>
    <t>In Stcok</t>
  </si>
  <si>
    <t>I3</t>
  </si>
  <si>
    <t>G5</t>
  </si>
  <si>
    <t>B4</t>
  </si>
  <si>
    <t>I5</t>
  </si>
  <si>
    <t>G7</t>
  </si>
  <si>
    <t>Transactions</t>
  </si>
  <si>
    <t>Category</t>
  </si>
  <si>
    <t>Groceries</t>
  </si>
  <si>
    <t>Test</t>
  </si>
  <si>
    <t>August Rental Income</t>
  </si>
  <si>
    <t>Steak Dinner</t>
  </si>
  <si>
    <t>Office B-Day Cake</t>
  </si>
  <si>
    <t>Business Sales</t>
  </si>
  <si>
    <t>Criteria</t>
  </si>
  <si>
    <t>Income Results</t>
  </si>
  <si>
    <t>PURCHASE ORDER</t>
  </si>
  <si>
    <t>G3</t>
  </si>
  <si>
    <t>Olives</t>
  </si>
  <si>
    <t>Mayo</t>
  </si>
  <si>
    <t>Criter &amp;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</si>
</sst>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  <numFmt numFmtId="165" formatCode="&quot;$&quot;0.00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rial Rounded MT Bold"/>
      <family val="2"/>
    </font>
    <font>
      <sz val="14"/>
      <color theme="1"/>
      <name val="Arial Rounded MT Bold"/>
      <family val="2"/>
    </font>
    <font>
      <sz val="8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gradientFill degree="90">
        <stop position="0">
          <color theme="0"/>
        </stop>
        <stop position="1">
          <color theme="4" tint="0.40000610370189521"/>
        </stop>
      </gradientFill>
    </fill>
    <fill>
      <patternFill patternType="solid">
        <fgColor theme="0"/>
        <bgColor indexed="64"/>
      </patternFill>
    </fill>
    <fill>
      <gradientFill degree="90">
        <stop position="0">
          <color theme="3" tint="0.74901577806939912"/>
        </stop>
        <stop position="1">
          <color theme="4" tint="0.59999389629810485"/>
        </stop>
      </gradient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1" fillId="4" borderId="2">
      <alignment horizontal="right"/>
    </xf>
    <xf numFmtId="0" fontId="1" fillId="0" borderId="3"/>
  </cellStyleXfs>
  <cellXfs count="34">
    <xf numFmtId="0" fontId="0" fillId="0" borderId="0" xfId="0"/>
    <xf numFmtId="0" fontId="0" fillId="2" borderId="0" xfId="0" applyFill="1"/>
    <xf numFmtId="0" fontId="0" fillId="3" borderId="1" xfId="0" applyFill="1" applyBorder="1"/>
    <xf numFmtId="0" fontId="1" fillId="4" borderId="2" xfId="2">
      <alignment horizontal="right"/>
    </xf>
    <xf numFmtId="0" fontId="1" fillId="0" borderId="3" xfId="3"/>
    <xf numFmtId="0" fontId="4" fillId="0" borderId="0" xfId="0" applyFont="1"/>
    <xf numFmtId="0" fontId="2" fillId="0" borderId="0" xfId="0" applyFont="1"/>
    <xf numFmtId="0" fontId="2" fillId="0" borderId="2" xfId="0" applyFont="1" applyBorder="1"/>
    <xf numFmtId="0" fontId="0" fillId="6" borderId="0" xfId="0" applyFill="1"/>
    <xf numFmtId="0" fontId="0" fillId="6" borderId="5" xfId="0" applyFill="1" applyBorder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1" xfId="0" applyFill="1" applyBorder="1"/>
    <xf numFmtId="0" fontId="0" fillId="6" borderId="12" xfId="0" applyFill="1" applyBorder="1"/>
    <xf numFmtId="164" fontId="0" fillId="6" borderId="6" xfId="1" applyNumberFormat="1" applyFont="1" applyFill="1" applyBorder="1"/>
    <xf numFmtId="164" fontId="0" fillId="6" borderId="7" xfId="1" applyNumberFormat="1" applyFont="1" applyFill="1" applyBorder="1"/>
    <xf numFmtId="164" fontId="0" fillId="6" borderId="9" xfId="1" applyNumberFormat="1" applyFont="1" applyFill="1" applyBorder="1"/>
    <xf numFmtId="164" fontId="0" fillId="6" borderId="10" xfId="1" applyNumberFormat="1" applyFont="1" applyFill="1" applyBorder="1"/>
    <xf numFmtId="164" fontId="0" fillId="6" borderId="12" xfId="1" applyNumberFormat="1" applyFont="1" applyFill="1" applyBorder="1"/>
    <xf numFmtId="164" fontId="0" fillId="6" borderId="13" xfId="1" applyNumberFormat="1" applyFont="1" applyFill="1" applyBorder="1"/>
    <xf numFmtId="0" fontId="2" fillId="5" borderId="1" xfId="0" applyFont="1" applyFill="1" applyBorder="1" applyAlignment="1">
      <alignment horizontal="center"/>
    </xf>
    <xf numFmtId="164" fontId="2" fillId="5" borderId="1" xfId="1" applyNumberFormat="1" applyFont="1" applyFill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2" fillId="0" borderId="1" xfId="0" applyFont="1" applyBorder="1" applyAlignment="1">
      <alignment horizontal="center" vertical="top"/>
    </xf>
    <xf numFmtId="14" fontId="1" fillId="0" borderId="3" xfId="3" applyNumberFormat="1"/>
    <xf numFmtId="164" fontId="1" fillId="0" borderId="3" xfId="3" applyNumberFormat="1"/>
    <xf numFmtId="164" fontId="2" fillId="0" borderId="4" xfId="0" applyNumberFormat="1" applyFont="1" applyBorder="1"/>
    <xf numFmtId="7" fontId="0" fillId="0" borderId="0" xfId="0" applyNumberFormat="1"/>
    <xf numFmtId="0" fontId="2" fillId="7" borderId="1" xfId="0" applyFont="1" applyFill="1" applyBorder="1"/>
    <xf numFmtId="165" fontId="2" fillId="7" borderId="1" xfId="0" applyNumberFormat="1" applyFont="1" applyFill="1" applyBorder="1"/>
    <xf numFmtId="165" fontId="0" fillId="0" borderId="0" xfId="0" applyNumberFormat="1"/>
    <xf numFmtId="0" fontId="3" fillId="0" borderId="0" xfId="0" applyFont="1" applyAlignment="1">
      <alignment horizontal="left"/>
    </xf>
  </cellXfs>
  <cellStyles count="4">
    <cellStyle name="Currency" xfId="1" builtinId="4"/>
    <cellStyle name="Field" xfId="3" xr:uid="{F1C34163-C7D8-4F98-9834-1E06BF91EB95}"/>
    <cellStyle name="Label" xfId="2" xr:uid="{2D47727D-7E40-4F8F-AD80-78A88DAA3A6D}"/>
    <cellStyle name="Normal" xfId="0" builtinId="0"/>
  </cellStyles>
  <dxfs count="5"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gradientFill>
          <stop position="0">
            <color theme="0"/>
          </stop>
          <stop position="1">
            <color theme="9" tint="-0.25098422193060094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ERP!$AD$5</c:f>
              <c:strCache>
                <c:ptCount val="1"/>
                <c:pt idx="0">
                  <c:v>$36.00</c:v>
                </c:pt>
              </c:strCache>
            </c:strRef>
          </c:tx>
          <c:val>
            <c:numRef>
              <c:f>ERP!$AD$6:$AD$8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ERP!$AC$6:$AC$8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660-4713-98FC-E4299AB5D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86614</xdr:colOff>
      <xdr:row>1</xdr:row>
      <xdr:rowOff>114300</xdr:rowOff>
    </xdr:from>
    <xdr:to>
      <xdr:col>2</xdr:col>
      <xdr:colOff>3882771</xdr:colOff>
      <xdr:row>19</xdr:row>
      <xdr:rowOff>152400</xdr:rowOff>
    </xdr:to>
    <xdr:grpSp>
      <xdr:nvGrpSpPr>
        <xdr:cNvPr id="11" name="HomeERP">
          <a:extLst>
            <a:ext uri="{FF2B5EF4-FFF2-40B4-BE49-F238E27FC236}">
              <a16:creationId xmlns:a16="http://schemas.microsoft.com/office/drawing/2014/main" id="{1834ACF1-2978-3C69-327C-6173FCDEEDD1}"/>
            </a:ext>
          </a:extLst>
        </xdr:cNvPr>
        <xdr:cNvGrpSpPr/>
      </xdr:nvGrpSpPr>
      <xdr:grpSpPr>
        <a:xfrm>
          <a:off x="1639189" y="457200"/>
          <a:ext cx="3796157" cy="3505200"/>
          <a:chOff x="1636445" y="455262"/>
          <a:chExt cx="3796157" cy="3564611"/>
        </a:xfrm>
      </xdr:grpSpPr>
      <xdr:grpSp>
        <xdr:nvGrpSpPr>
          <xdr:cNvPr id="10" name="Home">
            <a:extLst>
              <a:ext uri="{FF2B5EF4-FFF2-40B4-BE49-F238E27FC236}">
                <a16:creationId xmlns:a16="http://schemas.microsoft.com/office/drawing/2014/main" id="{DDB9643C-FEE1-E0AC-7EFC-09D58AAFB725}"/>
              </a:ext>
            </a:extLst>
          </xdr:cNvPr>
          <xdr:cNvGrpSpPr/>
        </xdr:nvGrpSpPr>
        <xdr:grpSpPr>
          <a:xfrm>
            <a:off x="2114854" y="726482"/>
            <a:ext cx="3317748" cy="3293391"/>
            <a:chOff x="2117598" y="1104899"/>
            <a:chExt cx="3317748" cy="3238501"/>
          </a:xfrm>
        </xdr:grpSpPr>
        <xdr:sp macro="[0]!Menu_IncomeExpense" textlink="">
          <xdr:nvSpPr>
            <xdr:cNvPr id="5" name="Rectangle: Rounded Corners 4">
              <a:extLst>
                <a:ext uri="{FF2B5EF4-FFF2-40B4-BE49-F238E27FC236}">
                  <a16:creationId xmlns:a16="http://schemas.microsoft.com/office/drawing/2014/main" id="{2D0BE9AD-CE6B-D209-1525-D9092C45040A}"/>
                </a:ext>
              </a:extLst>
            </xdr:cNvPr>
            <xdr:cNvSpPr/>
          </xdr:nvSpPr>
          <xdr:spPr>
            <a:xfrm>
              <a:off x="2117598" y="1104900"/>
              <a:ext cx="1527048" cy="1524000"/>
            </a:xfrm>
            <a:prstGeom prst="roundRect">
              <a:avLst/>
            </a:prstGeom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 b="1"/>
                <a:t>INCOME &amp; EXPENSES</a:t>
              </a:r>
            </a:p>
          </xdr:txBody>
        </xdr:sp>
        <xdr:sp macro="[0]!Menu_Invoice" textlink="">
          <xdr:nvSpPr>
            <xdr:cNvPr id="6" name="Rectangle: Rounded Corners 5">
              <a:extLst>
                <a:ext uri="{FF2B5EF4-FFF2-40B4-BE49-F238E27FC236}">
                  <a16:creationId xmlns:a16="http://schemas.microsoft.com/office/drawing/2014/main" id="{95365E42-1271-6B60-4FAB-C1306178EF40}"/>
                </a:ext>
              </a:extLst>
            </xdr:cNvPr>
            <xdr:cNvSpPr/>
          </xdr:nvSpPr>
          <xdr:spPr>
            <a:xfrm>
              <a:off x="3911346" y="2819400"/>
              <a:ext cx="1524000" cy="1524000"/>
            </a:xfrm>
            <a:prstGeom prst="roundRect">
              <a:avLst/>
            </a:prstGeom>
            <a:solidFill>
              <a:schemeClr val="accent5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 b="1"/>
                <a:t>INVOICING &amp; SALES</a:t>
              </a:r>
            </a:p>
          </xdr:txBody>
        </xdr:sp>
        <xdr:sp macro="[0]!Menu_Purchase" textlink="">
          <xdr:nvSpPr>
            <xdr:cNvPr id="7" name="Rectangle: Rounded Corners 6">
              <a:extLst>
                <a:ext uri="{FF2B5EF4-FFF2-40B4-BE49-F238E27FC236}">
                  <a16:creationId xmlns:a16="http://schemas.microsoft.com/office/drawing/2014/main" id="{DAB0F948-E7C7-DBF7-6AA7-3072B48B2112}"/>
                </a:ext>
              </a:extLst>
            </xdr:cNvPr>
            <xdr:cNvSpPr/>
          </xdr:nvSpPr>
          <xdr:spPr>
            <a:xfrm>
              <a:off x="2119630" y="2819400"/>
              <a:ext cx="1527048" cy="1524000"/>
            </a:xfrm>
            <a:prstGeom prst="roundRect">
              <a:avLst/>
            </a:prstGeom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 b="1"/>
                <a:t>INVENTORY &amp; PURCHASING</a:t>
              </a:r>
            </a:p>
          </xdr:txBody>
        </xdr:sp>
        <xdr:sp macro="[0]!Menu_Report" textlink="">
          <xdr:nvSpPr>
            <xdr:cNvPr id="8" name="Rectangle: Rounded Corners 7">
              <a:extLst>
                <a:ext uri="{FF2B5EF4-FFF2-40B4-BE49-F238E27FC236}">
                  <a16:creationId xmlns:a16="http://schemas.microsoft.com/office/drawing/2014/main" id="{87EA368D-AF32-9C1D-1234-1862B040DE44}"/>
                </a:ext>
              </a:extLst>
            </xdr:cNvPr>
            <xdr:cNvSpPr/>
          </xdr:nvSpPr>
          <xdr:spPr>
            <a:xfrm>
              <a:off x="3911346" y="1104899"/>
              <a:ext cx="1524000" cy="1524000"/>
            </a:xfrm>
            <a:prstGeom prst="roundRect">
              <a:avLst/>
            </a:prstGeom>
            <a:solidFill>
              <a:schemeClr val="bg2">
                <a:lumMod val="5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 b="1"/>
                <a:t>REPORTS &amp; GRAPHS</a:t>
              </a:r>
            </a:p>
          </xdr:txBody>
        </xdr:sp>
      </xdr:grpSp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62FCECEC-1048-3980-B090-5BCC876018EE}"/>
              </a:ext>
            </a:extLst>
          </xdr:cNvPr>
          <xdr:cNvGrpSpPr/>
        </xdr:nvGrpSpPr>
        <xdr:grpSpPr>
          <a:xfrm>
            <a:off x="1636445" y="455262"/>
            <a:ext cx="381000" cy="387458"/>
            <a:chOff x="6625209" y="952500"/>
            <a:chExt cx="762000" cy="762000"/>
          </a:xfrm>
        </xdr:grpSpPr>
        <xdr:sp macro="" textlink="">
          <xdr:nvSpPr>
            <xdr:cNvPr id="16" name="Oval 15">
              <a:extLst>
                <a:ext uri="{FF2B5EF4-FFF2-40B4-BE49-F238E27FC236}">
                  <a16:creationId xmlns:a16="http://schemas.microsoft.com/office/drawing/2014/main" id="{2D98B09D-39D7-E31E-E955-3D962C220ACD}"/>
                </a:ext>
              </a:extLst>
            </xdr:cNvPr>
            <xdr:cNvSpPr/>
          </xdr:nvSpPr>
          <xdr:spPr>
            <a:xfrm>
              <a:off x="6625209" y="952500"/>
              <a:ext cx="762000" cy="762000"/>
            </a:xfrm>
            <a:prstGeom prst="ellipse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18" name="Graphic 17" descr="Work from home Wi-Fi with solid fill">
              <a:extLst>
                <a:ext uri="{FF2B5EF4-FFF2-40B4-BE49-F238E27FC236}">
                  <a16:creationId xmlns:a16="http://schemas.microsoft.com/office/drawing/2014/main" id="{7D7D838D-4693-51B2-7C76-A71EB04C4A4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6739509" y="1047750"/>
              <a:ext cx="533400" cy="5334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4</xdr:col>
      <xdr:colOff>704850</xdr:colOff>
      <xdr:row>1</xdr:row>
      <xdr:rowOff>38100</xdr:rowOff>
    </xdr:from>
    <xdr:to>
      <xdr:col>42</xdr:col>
      <xdr:colOff>537591</xdr:colOff>
      <xdr:row>7</xdr:row>
      <xdr:rowOff>57150</xdr:rowOff>
    </xdr:to>
    <xdr:grpSp>
      <xdr:nvGrpSpPr>
        <xdr:cNvPr id="9" name="IncExpGrp" hidden="1">
          <a:extLst>
            <a:ext uri="{FF2B5EF4-FFF2-40B4-BE49-F238E27FC236}">
              <a16:creationId xmlns:a16="http://schemas.microsoft.com/office/drawing/2014/main" id="{354B054F-2195-67B2-9720-480810E3E157}"/>
            </a:ext>
          </a:extLst>
        </xdr:cNvPr>
        <xdr:cNvGrpSpPr/>
      </xdr:nvGrpSpPr>
      <xdr:grpSpPr>
        <a:xfrm>
          <a:off x="8896350" y="381000"/>
          <a:ext cx="5414391" cy="1200150"/>
          <a:chOff x="8482584" y="-790575"/>
          <a:chExt cx="5414391" cy="1200150"/>
        </a:xfrm>
      </xdr:grpSpPr>
      <xdr:sp macro="[0]!Transaction_Save" textlink="">
        <xdr:nvSpPr>
          <xdr:cNvPr id="12" name="Rectangle 11" hidden="1">
            <a:extLst>
              <a:ext uri="{FF2B5EF4-FFF2-40B4-BE49-F238E27FC236}">
                <a16:creationId xmlns:a16="http://schemas.microsoft.com/office/drawing/2014/main" id="{595EBCB7-047D-038E-BD01-E4FEFCEFC316}"/>
              </a:ext>
            </a:extLst>
          </xdr:cNvPr>
          <xdr:cNvSpPr/>
        </xdr:nvSpPr>
        <xdr:spPr>
          <a:xfrm>
            <a:off x="12677775" y="123825"/>
            <a:ext cx="1219200" cy="2857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Add Transaction</a:t>
            </a:r>
          </a:p>
        </xdr:txBody>
      </xdr:sp>
      <xdr:grpSp>
        <xdr:nvGrpSpPr>
          <xdr:cNvPr id="32" name="Group 31" hidden="1">
            <a:extLst>
              <a:ext uri="{FF2B5EF4-FFF2-40B4-BE49-F238E27FC236}">
                <a16:creationId xmlns:a16="http://schemas.microsoft.com/office/drawing/2014/main" id="{24353F42-235D-CE9E-ED75-76B8D3CC0FA9}"/>
              </a:ext>
            </a:extLst>
          </xdr:cNvPr>
          <xdr:cNvGrpSpPr/>
        </xdr:nvGrpSpPr>
        <xdr:grpSpPr>
          <a:xfrm>
            <a:off x="8482584" y="-790575"/>
            <a:ext cx="381000" cy="381000"/>
            <a:chOff x="6815709" y="-1866900"/>
            <a:chExt cx="762000" cy="762000"/>
          </a:xfrm>
        </xdr:grpSpPr>
        <xdr:sp macro="" textlink="">
          <xdr:nvSpPr>
            <xdr:cNvPr id="33" name="Oval 32" hidden="1">
              <a:extLst>
                <a:ext uri="{FF2B5EF4-FFF2-40B4-BE49-F238E27FC236}">
                  <a16:creationId xmlns:a16="http://schemas.microsoft.com/office/drawing/2014/main" id="{2E1FE7BC-1607-2CDC-6D29-D1147A10EF88}"/>
                </a:ext>
              </a:extLst>
            </xdr:cNvPr>
            <xdr:cNvSpPr/>
          </xdr:nvSpPr>
          <xdr:spPr>
            <a:xfrm>
              <a:off x="6815709" y="-1866900"/>
              <a:ext cx="762000" cy="762000"/>
            </a:xfrm>
            <a:prstGeom prst="ellipse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Menu_Home">
          <xdr:nvPicPr>
            <xdr:cNvPr id="34" name="Graphic 33" descr="Work from home Wi-Fi with solid fill" hidden="1">
              <a:extLst>
                <a:ext uri="{FF2B5EF4-FFF2-40B4-BE49-F238E27FC236}">
                  <a16:creationId xmlns:a16="http://schemas.microsoft.com/office/drawing/2014/main" id="{7B1A1CD0-C494-45A8-9F28-178A3E12C97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6930009" y="-1771650"/>
              <a:ext cx="533400" cy="5334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11</xdr:col>
      <xdr:colOff>114300</xdr:colOff>
      <xdr:row>1</xdr:row>
      <xdr:rowOff>114300</xdr:rowOff>
    </xdr:from>
    <xdr:to>
      <xdr:col>44</xdr:col>
      <xdr:colOff>530352</xdr:colOff>
      <xdr:row>3</xdr:row>
      <xdr:rowOff>76200</xdr:rowOff>
    </xdr:to>
    <xdr:grpSp>
      <xdr:nvGrpSpPr>
        <xdr:cNvPr id="4" name="InvoiceGrp" hidden="1">
          <a:extLst>
            <a:ext uri="{FF2B5EF4-FFF2-40B4-BE49-F238E27FC236}">
              <a16:creationId xmlns:a16="http://schemas.microsoft.com/office/drawing/2014/main" id="{83351FA2-7858-F3A5-F92F-C02EEB5F05C1}"/>
            </a:ext>
          </a:extLst>
        </xdr:cNvPr>
        <xdr:cNvGrpSpPr/>
      </xdr:nvGrpSpPr>
      <xdr:grpSpPr>
        <a:xfrm>
          <a:off x="8896350" y="457200"/>
          <a:ext cx="6626352" cy="381000"/>
          <a:chOff x="14811375" y="457200"/>
          <a:chExt cx="6626352" cy="381000"/>
        </a:xfrm>
      </xdr:grpSpPr>
      <xdr:sp macro="[0]!Invoice_Save" textlink="">
        <xdr:nvSpPr>
          <xdr:cNvPr id="14" name="Rectangle 13" hidden="1">
            <a:extLst>
              <a:ext uri="{FF2B5EF4-FFF2-40B4-BE49-F238E27FC236}">
                <a16:creationId xmlns:a16="http://schemas.microsoft.com/office/drawing/2014/main" id="{74EBCCC9-5F66-2353-50C0-7F0D4587D02E}"/>
              </a:ext>
            </a:extLst>
          </xdr:cNvPr>
          <xdr:cNvSpPr/>
        </xdr:nvSpPr>
        <xdr:spPr>
          <a:xfrm>
            <a:off x="20221575" y="514350"/>
            <a:ext cx="1216152" cy="2857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Save Invoice</a:t>
            </a:r>
          </a:p>
        </xdr:txBody>
      </xdr:sp>
      <xdr:grpSp>
        <xdr:nvGrpSpPr>
          <xdr:cNvPr id="35" name="Group 34" hidden="1">
            <a:extLst>
              <a:ext uri="{FF2B5EF4-FFF2-40B4-BE49-F238E27FC236}">
                <a16:creationId xmlns:a16="http://schemas.microsoft.com/office/drawing/2014/main" id="{37EEAA67-9CC9-4EE1-AF46-FC3C275C4033}"/>
              </a:ext>
            </a:extLst>
          </xdr:cNvPr>
          <xdr:cNvGrpSpPr/>
        </xdr:nvGrpSpPr>
        <xdr:grpSpPr>
          <a:xfrm>
            <a:off x="14811375" y="457200"/>
            <a:ext cx="381000" cy="381000"/>
            <a:chOff x="6644259" y="723900"/>
            <a:chExt cx="762000" cy="762000"/>
          </a:xfrm>
        </xdr:grpSpPr>
        <xdr:sp macro="[0]!Menu_Home" textlink="">
          <xdr:nvSpPr>
            <xdr:cNvPr id="36" name="Oval 35" hidden="1">
              <a:extLst>
                <a:ext uri="{FF2B5EF4-FFF2-40B4-BE49-F238E27FC236}">
                  <a16:creationId xmlns:a16="http://schemas.microsoft.com/office/drawing/2014/main" id="{C966E022-0BC2-6F64-C062-A40A5CF3BD12}"/>
                </a:ext>
              </a:extLst>
            </xdr:cNvPr>
            <xdr:cNvSpPr/>
          </xdr:nvSpPr>
          <xdr:spPr>
            <a:xfrm>
              <a:off x="6644259" y="723900"/>
              <a:ext cx="762000" cy="762000"/>
            </a:xfrm>
            <a:prstGeom prst="ellipse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Menu_Home">
          <xdr:nvPicPr>
            <xdr:cNvPr id="37" name="Graphic 36" descr="Work from home Wi-Fi with solid fill" hidden="1">
              <a:extLst>
                <a:ext uri="{FF2B5EF4-FFF2-40B4-BE49-F238E27FC236}">
                  <a16:creationId xmlns:a16="http://schemas.microsoft.com/office/drawing/2014/main" id="{53869FD3-55E6-C8DF-0CF4-A036891D396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6758559" y="819150"/>
              <a:ext cx="533400" cy="5334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18</xdr:col>
      <xdr:colOff>133350</xdr:colOff>
      <xdr:row>1</xdr:row>
      <xdr:rowOff>85725</xdr:rowOff>
    </xdr:from>
    <xdr:to>
      <xdr:col>43</xdr:col>
      <xdr:colOff>568452</xdr:colOff>
      <xdr:row>3</xdr:row>
      <xdr:rowOff>47625</xdr:rowOff>
    </xdr:to>
    <xdr:grpSp>
      <xdr:nvGrpSpPr>
        <xdr:cNvPr id="3" name="PurchGrp" hidden="1">
          <a:extLst>
            <a:ext uri="{FF2B5EF4-FFF2-40B4-BE49-F238E27FC236}">
              <a16:creationId xmlns:a16="http://schemas.microsoft.com/office/drawing/2014/main" id="{22B9F232-AFEF-D6EF-7C50-E78D075FC64B}"/>
            </a:ext>
          </a:extLst>
        </xdr:cNvPr>
        <xdr:cNvGrpSpPr/>
      </xdr:nvGrpSpPr>
      <xdr:grpSpPr>
        <a:xfrm>
          <a:off x="8896350" y="428625"/>
          <a:ext cx="6054852" cy="381000"/>
          <a:chOff x="22393275" y="428625"/>
          <a:chExt cx="6054852" cy="381000"/>
        </a:xfrm>
      </xdr:grpSpPr>
      <xdr:sp macro="[0]!Purchase_Save" textlink="">
        <xdr:nvSpPr>
          <xdr:cNvPr id="13" name="Rectangle 12" hidden="1">
            <a:extLst>
              <a:ext uri="{FF2B5EF4-FFF2-40B4-BE49-F238E27FC236}">
                <a16:creationId xmlns:a16="http://schemas.microsoft.com/office/drawing/2014/main" id="{14CBD319-3511-5325-BE7E-E6EF247CF93B}"/>
              </a:ext>
            </a:extLst>
          </xdr:cNvPr>
          <xdr:cNvSpPr/>
        </xdr:nvSpPr>
        <xdr:spPr>
          <a:xfrm>
            <a:off x="27231975" y="485775"/>
            <a:ext cx="1216152" cy="2857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Save</a:t>
            </a:r>
            <a:r>
              <a:rPr lang="en-US" sz="1100" b="1" baseline="0"/>
              <a:t> Purchase</a:t>
            </a:r>
            <a:endParaRPr lang="en-US" sz="1100" b="1"/>
          </a:p>
        </xdr:txBody>
      </xdr:sp>
      <xdr:grpSp>
        <xdr:nvGrpSpPr>
          <xdr:cNvPr id="38" name="Group 37" hidden="1">
            <a:extLst>
              <a:ext uri="{FF2B5EF4-FFF2-40B4-BE49-F238E27FC236}">
                <a16:creationId xmlns:a16="http://schemas.microsoft.com/office/drawing/2014/main" id="{4E0D3AF0-AB83-C05A-8F40-07C60BA76543}"/>
              </a:ext>
            </a:extLst>
          </xdr:cNvPr>
          <xdr:cNvGrpSpPr/>
        </xdr:nvGrpSpPr>
        <xdr:grpSpPr>
          <a:xfrm>
            <a:off x="22393275" y="428625"/>
            <a:ext cx="381000" cy="381000"/>
            <a:chOff x="6644259" y="723900"/>
            <a:chExt cx="762000" cy="762000"/>
          </a:xfrm>
        </xdr:grpSpPr>
        <xdr:sp macro="" textlink="">
          <xdr:nvSpPr>
            <xdr:cNvPr id="39" name="Oval 38" hidden="1">
              <a:extLst>
                <a:ext uri="{FF2B5EF4-FFF2-40B4-BE49-F238E27FC236}">
                  <a16:creationId xmlns:a16="http://schemas.microsoft.com/office/drawing/2014/main" id="{61ABEAC0-F2A0-6027-3604-623C4ACEF4BE}"/>
                </a:ext>
              </a:extLst>
            </xdr:cNvPr>
            <xdr:cNvSpPr/>
          </xdr:nvSpPr>
          <xdr:spPr>
            <a:xfrm>
              <a:off x="6644259" y="723900"/>
              <a:ext cx="762000" cy="762000"/>
            </a:xfrm>
            <a:prstGeom prst="ellipse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Menu_Home">
          <xdr:nvPicPr>
            <xdr:cNvPr id="40" name="Graphic 39" descr="Work from home Wi-Fi with solid fill" hidden="1">
              <a:extLst>
                <a:ext uri="{FF2B5EF4-FFF2-40B4-BE49-F238E27FC236}">
                  <a16:creationId xmlns:a16="http://schemas.microsoft.com/office/drawing/2014/main" id="{28CB69DF-6B0E-D40A-A3F4-BFE6A994A55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6758559" y="819150"/>
              <a:ext cx="533400" cy="5334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25</xdr:col>
      <xdr:colOff>142875</xdr:colOff>
      <xdr:row>2</xdr:row>
      <xdr:rowOff>0</xdr:rowOff>
    </xdr:from>
    <xdr:to>
      <xdr:col>47</xdr:col>
      <xdr:colOff>104775</xdr:colOff>
      <xdr:row>4</xdr:row>
      <xdr:rowOff>0</xdr:rowOff>
    </xdr:to>
    <xdr:grpSp>
      <xdr:nvGrpSpPr>
        <xdr:cNvPr id="2" name="ReportGrp" hidden="1">
          <a:extLst>
            <a:ext uri="{FF2B5EF4-FFF2-40B4-BE49-F238E27FC236}">
              <a16:creationId xmlns:a16="http://schemas.microsoft.com/office/drawing/2014/main" id="{0A112F87-6ED1-70BB-0DF1-F2E042B1FB09}"/>
            </a:ext>
          </a:extLst>
        </xdr:cNvPr>
        <xdr:cNvGrpSpPr/>
      </xdr:nvGrpSpPr>
      <xdr:grpSpPr>
        <a:xfrm>
          <a:off x="8896350" y="571500"/>
          <a:ext cx="8029575" cy="381000"/>
          <a:chOff x="29051250" y="428625"/>
          <a:chExt cx="8029575" cy="381000"/>
        </a:xfrm>
      </xdr:grpSpPr>
      <xdr:sp macro="" textlink="">
        <xdr:nvSpPr>
          <xdr:cNvPr id="15" name="Rectangle 14" hidden="1">
            <a:extLst>
              <a:ext uri="{FF2B5EF4-FFF2-40B4-BE49-F238E27FC236}">
                <a16:creationId xmlns:a16="http://schemas.microsoft.com/office/drawing/2014/main" id="{B096D0B1-25D3-F693-D7DE-939832361DAE}"/>
              </a:ext>
            </a:extLst>
          </xdr:cNvPr>
          <xdr:cNvSpPr/>
        </xdr:nvSpPr>
        <xdr:spPr>
          <a:xfrm>
            <a:off x="35861625" y="466725"/>
            <a:ext cx="1219200" cy="2857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Refresh</a:t>
            </a:r>
            <a:r>
              <a:rPr lang="en-US" sz="1100" b="1" baseline="0"/>
              <a:t> Report</a:t>
            </a:r>
            <a:endParaRPr lang="en-US" sz="1100" b="1"/>
          </a:p>
        </xdr:txBody>
      </xdr:sp>
      <xdr:grpSp>
        <xdr:nvGrpSpPr>
          <xdr:cNvPr id="41" name="Group 40" hidden="1">
            <a:extLst>
              <a:ext uri="{FF2B5EF4-FFF2-40B4-BE49-F238E27FC236}">
                <a16:creationId xmlns:a16="http://schemas.microsoft.com/office/drawing/2014/main" id="{BD8B8023-59D5-150A-A99A-9ACA76C8A089}"/>
              </a:ext>
            </a:extLst>
          </xdr:cNvPr>
          <xdr:cNvGrpSpPr/>
        </xdr:nvGrpSpPr>
        <xdr:grpSpPr>
          <a:xfrm>
            <a:off x="29051250" y="428625"/>
            <a:ext cx="381000" cy="381000"/>
            <a:chOff x="6644259" y="723900"/>
            <a:chExt cx="762000" cy="762000"/>
          </a:xfrm>
        </xdr:grpSpPr>
        <xdr:sp macro="" textlink="">
          <xdr:nvSpPr>
            <xdr:cNvPr id="42" name="Oval 41" hidden="1">
              <a:extLst>
                <a:ext uri="{FF2B5EF4-FFF2-40B4-BE49-F238E27FC236}">
                  <a16:creationId xmlns:a16="http://schemas.microsoft.com/office/drawing/2014/main" id="{48CA0DFE-011C-4A38-4607-708B0508EE07}"/>
                </a:ext>
              </a:extLst>
            </xdr:cNvPr>
            <xdr:cNvSpPr/>
          </xdr:nvSpPr>
          <xdr:spPr>
            <a:xfrm>
              <a:off x="6644259" y="723900"/>
              <a:ext cx="762000" cy="762000"/>
            </a:xfrm>
            <a:prstGeom prst="ellipse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Menu_Home">
          <xdr:nvPicPr>
            <xdr:cNvPr id="43" name="Graphic 42" descr="Work from home Wi-Fi with solid fill" hidden="1">
              <a:extLst>
                <a:ext uri="{FF2B5EF4-FFF2-40B4-BE49-F238E27FC236}">
                  <a16:creationId xmlns:a16="http://schemas.microsoft.com/office/drawing/2014/main" id="{554AB952-50FF-D055-3717-6BDE3E15E0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6758559" y="819150"/>
              <a:ext cx="533400" cy="5334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29</xdr:col>
      <xdr:colOff>366712</xdr:colOff>
      <xdr:row>3</xdr:row>
      <xdr:rowOff>147637</xdr:rowOff>
    </xdr:from>
    <xdr:to>
      <xdr:col>35</xdr:col>
      <xdr:colOff>200025</xdr:colOff>
      <xdr:row>15</xdr:row>
      <xdr:rowOff>171450</xdr:rowOff>
    </xdr:to>
    <xdr:graphicFrame macro="">
      <xdr:nvGraphicFramePr>
        <xdr:cNvPr id="21" name="TotalSales" hidden="1">
          <a:extLst>
            <a:ext uri="{FF2B5EF4-FFF2-40B4-BE49-F238E27FC236}">
              <a16:creationId xmlns:a16="http://schemas.microsoft.com/office/drawing/2014/main" id="{744A3F02-47A4-F5B4-D31F-A21C4C1068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Inovice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Invoice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Transcation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ovice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nscatio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19292-320D-4BBC-8046-A67930B00278}">
  <sheetPr codeName="Sheet1"/>
  <dimension ref="A1:AH35"/>
  <sheetViews>
    <sheetView tabSelected="1" zoomScaleNormal="100" workbookViewId="0">
      <selection activeCell="AC2" sqref="AC2"/>
    </sheetView>
  </sheetViews>
  <sheetFormatPr defaultRowHeight="15" x14ac:dyDescent="0.25"/>
  <cols>
    <col min="1" max="1" width="14.140625" style="1" customWidth="1"/>
    <col min="2" max="2" width="9.140625" style="1"/>
    <col min="3" max="3" width="101" customWidth="1"/>
    <col min="4" max="4" width="9.140625" customWidth="1"/>
    <col min="5" max="5" width="36.42578125" hidden="1" customWidth="1"/>
    <col min="6" max="6" width="16.5703125" hidden="1" customWidth="1"/>
    <col min="7" max="7" width="11.5703125" hidden="1" customWidth="1"/>
    <col min="8" max="8" width="9.140625" hidden="1" customWidth="1"/>
    <col min="9" max="9" width="20.85546875" hidden="1" customWidth="1"/>
    <col min="10" max="12" width="9.140625" hidden="1" customWidth="1"/>
    <col min="13" max="13" width="25.42578125" hidden="1" customWidth="1"/>
    <col min="14" max="14" width="24.42578125" hidden="1" customWidth="1"/>
    <col min="15" max="15" width="10.7109375" hidden="1" customWidth="1"/>
    <col min="16" max="16" width="12.42578125" hidden="1" customWidth="1"/>
    <col min="17" max="17" width="20" hidden="1" customWidth="1"/>
    <col min="18" max="18" width="25.5703125" hidden="1" customWidth="1"/>
    <col min="19" max="19" width="9.140625" hidden="1" customWidth="1"/>
    <col min="20" max="20" width="18.28515625" hidden="1" customWidth="1"/>
    <col min="21" max="21" width="16.7109375" hidden="1" customWidth="1"/>
    <col min="22" max="22" width="9.140625" hidden="1" customWidth="1"/>
    <col min="23" max="23" width="15.85546875" hidden="1" customWidth="1"/>
    <col min="24" max="24" width="16.28515625" hidden="1" customWidth="1"/>
    <col min="25" max="26" width="9.140625" hidden="1" customWidth="1"/>
    <col min="27" max="27" width="24.5703125" hidden="1" customWidth="1"/>
    <col min="28" max="28" width="9.140625" hidden="1" customWidth="1"/>
    <col min="29" max="29" width="21.140625" hidden="1" customWidth="1"/>
    <col min="30" max="30" width="14.28515625" hidden="1" customWidth="1"/>
    <col min="31" max="31" width="12.7109375" hidden="1" customWidth="1"/>
    <col min="32" max="34" width="9.140625" hidden="1" customWidth="1"/>
  </cols>
  <sheetData>
    <row r="1" spans="1:32" s="33" customFormat="1" ht="27" x14ac:dyDescent="0.35">
      <c r="A1" s="33" t="s">
        <v>4</v>
      </c>
    </row>
    <row r="2" spans="1:32" ht="18" x14ac:dyDescent="0.25">
      <c r="G2" s="5" t="s">
        <v>5</v>
      </c>
      <c r="M2" s="5" t="s">
        <v>6</v>
      </c>
      <c r="T2" s="5" t="s">
        <v>326</v>
      </c>
      <c r="AA2" s="5" t="s">
        <v>7</v>
      </c>
    </row>
    <row r="3" spans="1:32" x14ac:dyDescent="0.25">
      <c r="F3" s="3" t="s">
        <v>9</v>
      </c>
      <c r="G3" s="26"/>
      <c r="H3" s="3" t="s">
        <v>11</v>
      </c>
      <c r="I3" s="27"/>
      <c r="M3" s="3" t="s">
        <v>13</v>
      </c>
      <c r="N3" s="4"/>
      <c r="O3" s="3" t="s">
        <v>9</v>
      </c>
      <c r="P3" s="26"/>
      <c r="T3" s="3" t="s">
        <v>19</v>
      </c>
      <c r="U3" s="4"/>
      <c r="V3" s="3" t="s">
        <v>9</v>
      </c>
      <c r="W3" s="26"/>
      <c r="AB3" s="3" t="s">
        <v>24</v>
      </c>
      <c r="AC3" s="26">
        <v>43831</v>
      </c>
      <c r="AD3" s="3" t="s">
        <v>25</v>
      </c>
      <c r="AE3" s="26">
        <v>43925</v>
      </c>
    </row>
    <row r="4" spans="1:32" x14ac:dyDescent="0.25">
      <c r="A4" s="2" t="s">
        <v>0</v>
      </c>
      <c r="B4" s="2"/>
      <c r="AC4" t="s">
        <v>303</v>
      </c>
      <c r="AD4" s="23" t="s">
        <v>308</v>
      </c>
      <c r="AE4" t="s">
        <v>309</v>
      </c>
      <c r="AF4" t="s">
        <v>310</v>
      </c>
    </row>
    <row r="5" spans="1:32" x14ac:dyDescent="0.25">
      <c r="A5" s="2" t="s">
        <v>1</v>
      </c>
      <c r="B5" s="2">
        <v>5</v>
      </c>
      <c r="F5" s="3" t="s">
        <v>10</v>
      </c>
      <c r="G5" s="4"/>
      <c r="H5" s="3" t="s">
        <v>8</v>
      </c>
      <c r="I5" s="4"/>
      <c r="M5" s="6"/>
      <c r="N5" s="6"/>
      <c r="O5" s="6"/>
      <c r="P5" s="7" t="s">
        <v>14</v>
      </c>
      <c r="Q5" s="28">
        <f>SUM(Q7:Q34)</f>
        <v>0</v>
      </c>
      <c r="T5" s="6"/>
      <c r="U5" s="6"/>
      <c r="V5" s="6"/>
      <c r="W5" s="7" t="s">
        <v>20</v>
      </c>
      <c r="X5" s="28">
        <f>SUM(X7:X34)</f>
        <v>0</v>
      </c>
      <c r="AA5" t="s">
        <v>21</v>
      </c>
      <c r="AC5" s="30" t="s">
        <v>59</v>
      </c>
      <c r="AD5" s="31">
        <v>36</v>
      </c>
      <c r="AE5">
        <v>4</v>
      </c>
      <c r="AF5">
        <v>32</v>
      </c>
    </row>
    <row r="6" spans="1:32" x14ac:dyDescent="0.25">
      <c r="A6" s="2" t="s">
        <v>2</v>
      </c>
      <c r="B6" s="2">
        <f ca="1">IFERROR(MAX(InvNumb)+1,1)</f>
        <v>1</v>
      </c>
      <c r="M6" s="21" t="s">
        <v>15</v>
      </c>
      <c r="N6" s="21" t="s">
        <v>16</v>
      </c>
      <c r="O6" s="21" t="s">
        <v>17</v>
      </c>
      <c r="P6" s="22" t="s">
        <v>11</v>
      </c>
      <c r="Q6" s="22" t="s">
        <v>18</v>
      </c>
      <c r="T6" s="21" t="s">
        <v>15</v>
      </c>
      <c r="U6" s="21" t="s">
        <v>16</v>
      </c>
      <c r="V6" s="21" t="s">
        <v>17</v>
      </c>
      <c r="W6" s="22" t="s">
        <v>11</v>
      </c>
      <c r="X6" s="22" t="s">
        <v>18</v>
      </c>
      <c r="AA6" t="s">
        <v>22</v>
      </c>
      <c r="AC6" t="s">
        <v>60</v>
      </c>
      <c r="AD6" s="32">
        <v>26</v>
      </c>
      <c r="AE6">
        <v>7</v>
      </c>
      <c r="AF6">
        <v>19</v>
      </c>
    </row>
    <row r="7" spans="1:32" x14ac:dyDescent="0.25">
      <c r="A7" s="2" t="s">
        <v>3</v>
      </c>
      <c r="B7" s="2">
        <f ca="1">IFERROR(MAX(PurchNumb)+1,1)</f>
        <v>6</v>
      </c>
      <c r="F7" s="3" t="s">
        <v>12</v>
      </c>
      <c r="G7" s="4"/>
      <c r="M7" s="9"/>
      <c r="N7" s="10"/>
      <c r="O7" s="10"/>
      <c r="P7" s="15"/>
      <c r="Q7" s="16"/>
      <c r="T7" s="9"/>
      <c r="U7" s="10"/>
      <c r="V7" s="10"/>
      <c r="W7" s="15"/>
      <c r="X7" s="16"/>
      <c r="AA7" t="s">
        <v>23</v>
      </c>
      <c r="AC7" t="s">
        <v>61</v>
      </c>
      <c r="AD7" s="32">
        <v>72</v>
      </c>
      <c r="AE7">
        <v>5</v>
      </c>
      <c r="AF7">
        <v>67</v>
      </c>
    </row>
    <row r="8" spans="1:32" x14ac:dyDescent="0.25">
      <c r="M8" s="11"/>
      <c r="N8" s="12"/>
      <c r="O8" s="12"/>
      <c r="P8" s="17"/>
      <c r="Q8" s="18"/>
      <c r="T8" s="11"/>
      <c r="U8" s="12"/>
      <c r="V8" s="12"/>
      <c r="W8" s="17"/>
      <c r="X8" s="18"/>
      <c r="AC8" t="s">
        <v>62</v>
      </c>
      <c r="AD8" s="32">
        <v>12</v>
      </c>
      <c r="AE8">
        <v>6</v>
      </c>
      <c r="AF8">
        <v>6</v>
      </c>
    </row>
    <row r="9" spans="1:32" x14ac:dyDescent="0.25">
      <c r="M9" s="11"/>
      <c r="N9" s="12"/>
      <c r="O9" s="12"/>
      <c r="P9" s="17"/>
      <c r="Q9" s="18"/>
      <c r="T9" s="11"/>
      <c r="U9" s="12"/>
      <c r="V9" s="12"/>
      <c r="W9" s="17"/>
      <c r="X9" s="18"/>
      <c r="AC9" t="s">
        <v>63</v>
      </c>
      <c r="AD9" s="32">
        <v>12</v>
      </c>
      <c r="AE9">
        <v>5</v>
      </c>
      <c r="AF9">
        <v>7</v>
      </c>
    </row>
    <row r="10" spans="1:32" x14ac:dyDescent="0.25">
      <c r="M10" s="11"/>
      <c r="N10" s="12"/>
      <c r="O10" s="12"/>
      <c r="P10" s="17"/>
      <c r="Q10" s="18"/>
      <c r="T10" s="11"/>
      <c r="U10" s="12"/>
      <c r="V10" s="12"/>
      <c r="W10" s="17"/>
      <c r="X10" s="18"/>
      <c r="AC10" t="s">
        <v>64</v>
      </c>
      <c r="AD10">
        <v>12</v>
      </c>
      <c r="AE10">
        <v>1</v>
      </c>
      <c r="AF10">
        <v>11</v>
      </c>
    </row>
    <row r="11" spans="1:32" x14ac:dyDescent="0.25">
      <c r="M11" s="11"/>
      <c r="N11" s="12"/>
      <c r="O11" s="12"/>
      <c r="P11" s="17"/>
      <c r="Q11" s="18"/>
      <c r="T11" s="11"/>
      <c r="U11" s="12"/>
      <c r="V11" s="12"/>
      <c r="W11" s="17"/>
      <c r="X11" s="18"/>
      <c r="AC11" t="s">
        <v>59</v>
      </c>
      <c r="AD11">
        <v>36</v>
      </c>
      <c r="AE11">
        <v>4</v>
      </c>
      <c r="AF11">
        <v>32</v>
      </c>
    </row>
    <row r="12" spans="1:32" x14ac:dyDescent="0.25">
      <c r="M12" s="11"/>
      <c r="N12" s="12"/>
      <c r="O12" s="12"/>
      <c r="P12" s="17"/>
      <c r="Q12" s="18"/>
      <c r="T12" s="11"/>
      <c r="U12" s="12"/>
      <c r="V12" s="12"/>
      <c r="W12" s="17"/>
      <c r="X12" s="18"/>
      <c r="AC12" t="s">
        <v>60</v>
      </c>
      <c r="AD12">
        <v>26</v>
      </c>
      <c r="AE12">
        <v>7</v>
      </c>
      <c r="AF12">
        <v>19</v>
      </c>
    </row>
    <row r="13" spans="1:32" x14ac:dyDescent="0.25">
      <c r="M13" s="11"/>
      <c r="N13" s="12"/>
      <c r="O13" s="12"/>
      <c r="P13" s="17"/>
      <c r="Q13" s="18"/>
      <c r="T13" s="11"/>
      <c r="U13" s="12"/>
      <c r="V13" s="12"/>
      <c r="W13" s="17"/>
      <c r="X13" s="18"/>
      <c r="AC13" t="s">
        <v>61</v>
      </c>
      <c r="AD13">
        <v>72</v>
      </c>
      <c r="AE13">
        <v>5</v>
      </c>
      <c r="AF13">
        <v>67</v>
      </c>
    </row>
    <row r="14" spans="1:32" x14ac:dyDescent="0.25">
      <c r="M14" s="11"/>
      <c r="N14" s="12"/>
      <c r="O14" s="12"/>
      <c r="P14" s="17"/>
      <c r="Q14" s="18"/>
      <c r="T14" s="11"/>
      <c r="U14" s="12"/>
      <c r="V14" s="12"/>
      <c r="W14" s="17"/>
      <c r="X14" s="18"/>
      <c r="AC14" s="29" t="s">
        <v>61</v>
      </c>
      <c r="AD14">
        <v>72</v>
      </c>
      <c r="AE14">
        <v>5</v>
      </c>
      <c r="AF14">
        <v>67</v>
      </c>
    </row>
    <row r="15" spans="1:32" x14ac:dyDescent="0.25">
      <c r="M15" s="11"/>
      <c r="N15" s="12"/>
      <c r="O15" s="12"/>
      <c r="P15" s="17"/>
      <c r="Q15" s="18"/>
      <c r="T15" s="11"/>
      <c r="U15" s="12"/>
      <c r="V15" s="12"/>
      <c r="W15" s="17"/>
      <c r="X15" s="18"/>
      <c r="AC15" t="s">
        <v>63</v>
      </c>
      <c r="AD15">
        <v>12</v>
      </c>
      <c r="AE15">
        <v>5</v>
      </c>
      <c r="AF15">
        <v>7</v>
      </c>
    </row>
    <row r="16" spans="1:32" x14ac:dyDescent="0.25">
      <c r="M16" s="11"/>
      <c r="N16" s="12"/>
      <c r="O16" s="12"/>
      <c r="P16" s="17"/>
      <c r="Q16" s="18"/>
      <c r="T16" s="11"/>
      <c r="U16" s="12"/>
      <c r="V16" s="12"/>
      <c r="W16" s="17"/>
      <c r="X16" s="18"/>
      <c r="AC16" t="s">
        <v>61</v>
      </c>
      <c r="AD16">
        <v>72</v>
      </c>
      <c r="AE16">
        <v>5</v>
      </c>
      <c r="AF16">
        <v>67</v>
      </c>
    </row>
    <row r="17" spans="13:32" x14ac:dyDescent="0.25">
      <c r="M17" s="11"/>
      <c r="N17" s="12"/>
      <c r="O17" s="12"/>
      <c r="P17" s="17"/>
      <c r="Q17" s="18"/>
      <c r="T17" s="11"/>
      <c r="U17" s="12"/>
      <c r="V17" s="12"/>
      <c r="W17" s="17"/>
      <c r="X17" s="18"/>
      <c r="AC17" t="s">
        <v>63</v>
      </c>
      <c r="AD17">
        <v>12</v>
      </c>
      <c r="AE17">
        <v>5</v>
      </c>
      <c r="AF17">
        <v>7</v>
      </c>
    </row>
    <row r="18" spans="13:32" x14ac:dyDescent="0.25">
      <c r="M18" s="11"/>
      <c r="N18" s="12"/>
      <c r="O18" s="12"/>
      <c r="P18" s="17"/>
      <c r="Q18" s="18"/>
      <c r="T18" s="11"/>
      <c r="U18" s="12"/>
      <c r="V18" s="12"/>
      <c r="W18" s="17"/>
      <c r="X18" s="18"/>
    </row>
    <row r="19" spans="13:32" x14ac:dyDescent="0.25">
      <c r="M19" s="11"/>
      <c r="N19" s="12"/>
      <c r="O19" s="12"/>
      <c r="P19" s="17"/>
      <c r="Q19" s="18"/>
      <c r="T19" s="11"/>
      <c r="U19" s="12"/>
      <c r="V19" s="12"/>
      <c r="W19" s="17"/>
      <c r="X19" s="18"/>
    </row>
    <row r="20" spans="13:32" x14ac:dyDescent="0.25">
      <c r="M20" s="11"/>
      <c r="N20" s="12"/>
      <c r="O20" s="12"/>
      <c r="P20" s="17"/>
      <c r="Q20" s="18"/>
      <c r="T20" s="11"/>
      <c r="U20" s="12"/>
      <c r="V20" s="12"/>
      <c r="W20" s="17"/>
      <c r="X20" s="18"/>
    </row>
    <row r="21" spans="13:32" x14ac:dyDescent="0.25">
      <c r="M21" s="11"/>
      <c r="N21" s="12"/>
      <c r="O21" s="12"/>
      <c r="P21" s="17"/>
      <c r="Q21" s="18"/>
      <c r="T21" s="11"/>
      <c r="U21" s="12"/>
      <c r="V21" s="12"/>
      <c r="W21" s="17"/>
      <c r="X21" s="18"/>
    </row>
    <row r="22" spans="13:32" x14ac:dyDescent="0.25">
      <c r="M22" s="11"/>
      <c r="N22" s="12"/>
      <c r="O22" s="12"/>
      <c r="P22" s="17"/>
      <c r="Q22" s="18"/>
      <c r="T22" s="11"/>
      <c r="U22" s="12"/>
      <c r="V22" s="12"/>
      <c r="W22" s="17"/>
      <c r="X22" s="18"/>
    </row>
    <row r="23" spans="13:32" x14ac:dyDescent="0.25">
      <c r="M23" s="11"/>
      <c r="N23" s="12"/>
      <c r="O23" s="12"/>
      <c r="P23" s="17"/>
      <c r="Q23" s="18"/>
      <c r="T23" s="11"/>
      <c r="U23" s="12"/>
      <c r="V23" s="12"/>
      <c r="W23" s="17"/>
      <c r="X23" s="18"/>
    </row>
    <row r="24" spans="13:32" x14ac:dyDescent="0.25">
      <c r="M24" s="11"/>
      <c r="N24" s="12"/>
      <c r="O24" s="12"/>
      <c r="P24" s="17"/>
      <c r="Q24" s="18"/>
      <c r="T24" s="11"/>
      <c r="U24" s="12"/>
      <c r="V24" s="12"/>
      <c r="W24" s="17"/>
      <c r="X24" s="18"/>
    </row>
    <row r="25" spans="13:32" x14ac:dyDescent="0.25">
      <c r="M25" s="11"/>
      <c r="N25" s="12"/>
      <c r="O25" s="12"/>
      <c r="P25" s="17"/>
      <c r="Q25" s="18"/>
      <c r="T25" s="11"/>
      <c r="U25" s="12"/>
      <c r="V25" s="12"/>
      <c r="W25" s="17"/>
      <c r="X25" s="18"/>
    </row>
    <row r="26" spans="13:32" x14ac:dyDescent="0.25">
      <c r="M26" s="11"/>
      <c r="N26" s="12"/>
      <c r="O26" s="12"/>
      <c r="P26" s="17"/>
      <c r="Q26" s="18"/>
      <c r="T26" s="11"/>
      <c r="U26" s="12"/>
      <c r="V26" s="12"/>
      <c r="W26" s="17"/>
      <c r="X26" s="18"/>
    </row>
    <row r="27" spans="13:32" x14ac:dyDescent="0.25">
      <c r="M27" s="11"/>
      <c r="N27" s="12"/>
      <c r="O27" s="12"/>
      <c r="P27" s="17"/>
      <c r="Q27" s="18"/>
      <c r="T27" s="11"/>
      <c r="U27" s="12"/>
      <c r="V27" s="12"/>
      <c r="W27" s="17"/>
      <c r="X27" s="18"/>
    </row>
    <row r="28" spans="13:32" x14ac:dyDescent="0.25">
      <c r="M28" s="11"/>
      <c r="N28" s="12"/>
      <c r="O28" s="12"/>
      <c r="P28" s="17"/>
      <c r="Q28" s="18"/>
      <c r="T28" s="11"/>
      <c r="U28" s="12"/>
      <c r="V28" s="12"/>
      <c r="W28" s="17"/>
      <c r="X28" s="18"/>
    </row>
    <row r="29" spans="13:32" x14ac:dyDescent="0.25">
      <c r="M29" s="11"/>
      <c r="N29" s="12"/>
      <c r="O29" s="12"/>
      <c r="P29" s="17"/>
      <c r="Q29" s="18"/>
      <c r="T29" s="11"/>
      <c r="U29" s="12"/>
      <c r="V29" s="12"/>
      <c r="W29" s="17"/>
      <c r="X29" s="18"/>
    </row>
    <row r="30" spans="13:32" x14ac:dyDescent="0.25">
      <c r="M30" s="11"/>
      <c r="N30" s="12"/>
      <c r="O30" s="12"/>
      <c r="P30" s="17"/>
      <c r="Q30" s="18"/>
      <c r="T30" s="11"/>
      <c r="U30" s="12"/>
      <c r="V30" s="12"/>
      <c r="W30" s="17"/>
      <c r="X30" s="18"/>
    </row>
    <row r="31" spans="13:32" x14ac:dyDescent="0.25">
      <c r="M31" s="11"/>
      <c r="N31" s="12"/>
      <c r="O31" s="12"/>
      <c r="P31" s="17"/>
      <c r="Q31" s="18"/>
      <c r="T31" s="11"/>
      <c r="U31" s="12"/>
      <c r="V31" s="12"/>
      <c r="W31" s="17"/>
      <c r="X31" s="18"/>
    </row>
    <row r="32" spans="13:32" x14ac:dyDescent="0.25">
      <c r="M32" s="11"/>
      <c r="N32" s="12"/>
      <c r="O32" s="12"/>
      <c r="P32" s="17"/>
      <c r="Q32" s="18"/>
      <c r="T32" s="11"/>
      <c r="U32" s="12"/>
      <c r="V32" s="12"/>
      <c r="W32" s="17"/>
      <c r="X32" s="18"/>
    </row>
    <row r="33" spans="12:24" x14ac:dyDescent="0.25">
      <c r="M33" s="11"/>
      <c r="N33" s="12"/>
      <c r="O33" s="12"/>
      <c r="P33" s="17"/>
      <c r="Q33" s="18"/>
      <c r="T33" s="11"/>
      <c r="U33" s="12"/>
      <c r="V33" s="12"/>
      <c r="W33" s="17"/>
      <c r="X33" s="18"/>
    </row>
    <row r="34" spans="12:24" x14ac:dyDescent="0.25">
      <c r="M34" s="13"/>
      <c r="N34" s="14"/>
      <c r="O34" s="14"/>
      <c r="P34" s="19"/>
      <c r="Q34" s="20"/>
      <c r="T34" s="13"/>
      <c r="U34" s="14"/>
      <c r="V34" s="14"/>
      <c r="W34" s="19"/>
      <c r="X34" s="20"/>
    </row>
    <row r="35" spans="12:24" x14ac:dyDescent="0.25">
      <c r="L35" s="8"/>
      <c r="M35" s="8"/>
      <c r="N35" s="8"/>
      <c r="O35" s="8"/>
      <c r="P35" s="8"/>
    </row>
  </sheetData>
  <mergeCells count="1">
    <mergeCell ref="A1:XFD1"/>
  </mergeCells>
  <conditionalFormatting sqref="M7:Q34">
    <cfRule type="expression" dxfId="4" priority="9">
      <formula>MOD(ROW(),2)=0</formula>
    </cfRule>
  </conditionalFormatting>
  <conditionalFormatting sqref="T7:X34">
    <cfRule type="expression" dxfId="3" priority="8">
      <formula>MOD(ROW(),2)=0</formula>
    </cfRule>
  </conditionalFormatting>
  <conditionalFormatting sqref="AA5:AA7">
    <cfRule type="expression" dxfId="2" priority="7">
      <formula>$B$5=ROW()</formula>
    </cfRule>
  </conditionalFormatting>
  <conditionalFormatting sqref="AC5:AJ5">
    <cfRule type="notContainsBlanks" priority="6">
      <formula>LEN(TRIM(AC5))&gt;0</formula>
    </cfRule>
  </conditionalFormatting>
  <conditionalFormatting sqref="AB6:AJ33">
    <cfRule type="expression" dxfId="1" priority="1">
      <formula>AND(AB6&lt;&gt;"",MOD(ROW(),2)=1)</formula>
    </cfRule>
    <cfRule type="expression" dxfId="0" priority="2">
      <formula>AND(AB6&lt;&gt;"",MOD(ROW(),2)=0)</formula>
    </cfRule>
  </conditionalFormatting>
  <dataValidations count="5">
    <dataValidation type="list" allowBlank="1" showInputMessage="1" showErrorMessage="1" sqref="G5" xr:uid="{F0B7C09D-503C-4630-8516-C446D71B43FC}">
      <formula1>Accounts</formula1>
    </dataValidation>
    <dataValidation type="list" allowBlank="1" showInputMessage="1" showErrorMessage="1" sqref="I5" xr:uid="{9A814363-09DA-423A-90CF-DECB6EA83568}">
      <formula1>Category</formula1>
    </dataValidation>
    <dataValidation type="list" allowBlank="1" showInputMessage="1" showErrorMessage="1" sqref="N3" xr:uid="{974A7FA5-3E3C-4EC9-AED1-158F86425817}">
      <formula1>Customers</formula1>
    </dataValidation>
    <dataValidation type="list" allowBlank="1" showInputMessage="1" showErrorMessage="1" sqref="M7:M34 T7:T34" xr:uid="{9A264888-255D-416A-B071-D8FF0F617245}">
      <formula1>Items</formula1>
    </dataValidation>
    <dataValidation type="list" allowBlank="1" showInputMessage="1" showErrorMessage="1" sqref="U3" xr:uid="{44EE8F86-2D85-4C28-8984-104E5BCE3956}">
      <formula1>Vendors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4BED6-553B-477A-8C0F-BED7938EEDDD}">
  <sheetPr codeName="Sheet2"/>
  <dimension ref="A1:K72"/>
  <sheetViews>
    <sheetView workbookViewId="0">
      <selection activeCell="K3" sqref="K3"/>
    </sheetView>
  </sheetViews>
  <sheetFormatPr defaultRowHeight="15" x14ac:dyDescent="0.25"/>
  <cols>
    <col min="3" max="3" width="9.42578125" bestFit="1" customWidth="1"/>
    <col min="4" max="4" width="9.140625" style="24"/>
    <col min="10" max="10" width="17.140625" customWidth="1"/>
  </cols>
  <sheetData>
    <row r="1" spans="1:11" x14ac:dyDescent="0.25">
      <c r="A1" t="s">
        <v>26</v>
      </c>
      <c r="H1" t="s">
        <v>330</v>
      </c>
    </row>
    <row r="2" spans="1:11" x14ac:dyDescent="0.25">
      <c r="A2" t="s">
        <v>27</v>
      </c>
      <c r="B2" t="s">
        <v>28</v>
      </c>
      <c r="C2" t="s">
        <v>9</v>
      </c>
      <c r="D2" s="24" t="s">
        <v>18</v>
      </c>
      <c r="H2" t="s">
        <v>9</v>
      </c>
      <c r="I2" t="s">
        <v>9</v>
      </c>
      <c r="J2" t="s">
        <v>28</v>
      </c>
      <c r="K2" t="s">
        <v>33</v>
      </c>
    </row>
    <row r="3" spans="1:11" x14ac:dyDescent="0.25">
      <c r="A3">
        <v>1</v>
      </c>
      <c r="B3" t="s">
        <v>29</v>
      </c>
      <c r="C3" s="23">
        <v>43832</v>
      </c>
      <c r="D3" s="24">
        <v>49</v>
      </c>
      <c r="H3" t="str">
        <f>"&gt;="&amp;StartDate</f>
        <v>&gt;=43831</v>
      </c>
      <c r="I3" t="str">
        <f>"&lt;="&amp;EndDate</f>
        <v>&lt;=43925</v>
      </c>
      <c r="J3" t="s">
        <v>29</v>
      </c>
      <c r="K3">
        <f t="shared" ref="K3:K34" si="0">IF(J3="","",SUMIFS($D$3:$D$9999,$B$3:$B$9999,J3,$C$3:$C$9999,"&gt;="&amp;StartDate,$C$3:$C$9999,"&lt;="&amp;EndDate))</f>
        <v>49</v>
      </c>
    </row>
    <row r="4" spans="1:11" x14ac:dyDescent="0.25">
      <c r="A4">
        <v>2</v>
      </c>
      <c r="B4" t="s">
        <v>30</v>
      </c>
      <c r="C4" s="23">
        <v>43835</v>
      </c>
      <c r="D4" s="24">
        <v>75</v>
      </c>
      <c r="J4" t="s">
        <v>30</v>
      </c>
      <c r="K4">
        <f t="shared" si="0"/>
        <v>205</v>
      </c>
    </row>
    <row r="5" spans="1:11" x14ac:dyDescent="0.25">
      <c r="A5">
        <v>3</v>
      </c>
      <c r="B5" t="s">
        <v>31</v>
      </c>
      <c r="C5" s="23">
        <v>43862</v>
      </c>
      <c r="D5" s="24">
        <v>30</v>
      </c>
      <c r="J5" t="s">
        <v>31</v>
      </c>
      <c r="K5">
        <f t="shared" si="0"/>
        <v>30</v>
      </c>
    </row>
    <row r="6" spans="1:11" x14ac:dyDescent="0.25">
      <c r="A6">
        <v>4</v>
      </c>
      <c r="B6" t="s">
        <v>32</v>
      </c>
      <c r="C6" s="23">
        <v>43862</v>
      </c>
      <c r="D6" s="24">
        <v>30</v>
      </c>
      <c r="J6" t="s">
        <v>32</v>
      </c>
      <c r="K6">
        <f t="shared" si="0"/>
        <v>30</v>
      </c>
    </row>
    <row r="7" spans="1:11" x14ac:dyDescent="0.25">
      <c r="A7">
        <v>5</v>
      </c>
      <c r="B7" t="s">
        <v>29</v>
      </c>
      <c r="C7" s="23">
        <v>43961</v>
      </c>
      <c r="D7" s="24">
        <v>35</v>
      </c>
      <c r="K7" t="str">
        <f t="shared" si="0"/>
        <v/>
      </c>
    </row>
    <row r="8" spans="1:11" x14ac:dyDescent="0.25">
      <c r="A8">
        <v>6</v>
      </c>
      <c r="B8" t="s">
        <v>30</v>
      </c>
      <c r="C8" s="23">
        <v>43845</v>
      </c>
      <c r="D8" s="24">
        <v>130</v>
      </c>
      <c r="K8" t="str">
        <f t="shared" si="0"/>
        <v/>
      </c>
    </row>
    <row r="9" spans="1:11" x14ac:dyDescent="0.25">
      <c r="K9" t="str">
        <f t="shared" si="0"/>
        <v/>
      </c>
    </row>
    <row r="10" spans="1:11" x14ac:dyDescent="0.25">
      <c r="K10" t="str">
        <f t="shared" si="0"/>
        <v/>
      </c>
    </row>
    <row r="11" spans="1:11" x14ac:dyDescent="0.25">
      <c r="K11" t="str">
        <f t="shared" si="0"/>
        <v/>
      </c>
    </row>
    <row r="12" spans="1:11" x14ac:dyDescent="0.25">
      <c r="K12" t="str">
        <f t="shared" si="0"/>
        <v/>
      </c>
    </row>
    <row r="13" spans="1:11" x14ac:dyDescent="0.25">
      <c r="K13" t="str">
        <f t="shared" si="0"/>
        <v/>
      </c>
    </row>
    <row r="14" spans="1:11" x14ac:dyDescent="0.25">
      <c r="K14" t="str">
        <f t="shared" si="0"/>
        <v/>
      </c>
    </row>
    <row r="15" spans="1:11" x14ac:dyDescent="0.25">
      <c r="K15" t="str">
        <f t="shared" si="0"/>
        <v/>
      </c>
    </row>
    <row r="16" spans="1:11" x14ac:dyDescent="0.25">
      <c r="K16" t="str">
        <f t="shared" si="0"/>
        <v/>
      </c>
    </row>
    <row r="17" spans="11:11" x14ac:dyDescent="0.25">
      <c r="K17" t="str">
        <f t="shared" si="0"/>
        <v/>
      </c>
    </row>
    <row r="18" spans="11:11" x14ac:dyDescent="0.25">
      <c r="K18" t="str">
        <f t="shared" si="0"/>
        <v/>
      </c>
    </row>
    <row r="19" spans="11:11" x14ac:dyDescent="0.25">
      <c r="K19" t="str">
        <f t="shared" si="0"/>
        <v/>
      </c>
    </row>
    <row r="20" spans="11:11" x14ac:dyDescent="0.25">
      <c r="K20" t="str">
        <f t="shared" si="0"/>
        <v/>
      </c>
    </row>
    <row r="21" spans="11:11" x14ac:dyDescent="0.25">
      <c r="K21" t="str">
        <f t="shared" si="0"/>
        <v/>
      </c>
    </row>
    <row r="22" spans="11:11" x14ac:dyDescent="0.25">
      <c r="K22" t="str">
        <f t="shared" si="0"/>
        <v/>
      </c>
    </row>
    <row r="23" spans="11:11" x14ac:dyDescent="0.25">
      <c r="K23" t="str">
        <f t="shared" si="0"/>
        <v/>
      </c>
    </row>
    <row r="24" spans="11:11" x14ac:dyDescent="0.25">
      <c r="K24" t="str">
        <f t="shared" si="0"/>
        <v/>
      </c>
    </row>
    <row r="25" spans="11:11" x14ac:dyDescent="0.25">
      <c r="K25" t="str">
        <f t="shared" si="0"/>
        <v/>
      </c>
    </row>
    <row r="26" spans="11:11" x14ac:dyDescent="0.25">
      <c r="K26" t="str">
        <f t="shared" si="0"/>
        <v/>
      </c>
    </row>
    <row r="27" spans="11:11" x14ac:dyDescent="0.25">
      <c r="K27" t="str">
        <f t="shared" si="0"/>
        <v/>
      </c>
    </row>
    <row r="28" spans="11:11" x14ac:dyDescent="0.25">
      <c r="K28" t="str">
        <f t="shared" si="0"/>
        <v/>
      </c>
    </row>
    <row r="29" spans="11:11" x14ac:dyDescent="0.25">
      <c r="K29" t="str">
        <f t="shared" si="0"/>
        <v/>
      </c>
    </row>
    <row r="30" spans="11:11" x14ac:dyDescent="0.25">
      <c r="K30" t="str">
        <f t="shared" si="0"/>
        <v/>
      </c>
    </row>
    <row r="31" spans="11:11" x14ac:dyDescent="0.25">
      <c r="K31" t="str">
        <f t="shared" si="0"/>
        <v/>
      </c>
    </row>
    <row r="32" spans="11:11" x14ac:dyDescent="0.25">
      <c r="K32" t="str">
        <f t="shared" si="0"/>
        <v/>
      </c>
    </row>
    <row r="33" spans="11:11" x14ac:dyDescent="0.25">
      <c r="K33" t="str">
        <f t="shared" si="0"/>
        <v/>
      </c>
    </row>
    <row r="34" spans="11:11" x14ac:dyDescent="0.25">
      <c r="K34" t="str">
        <f t="shared" si="0"/>
        <v/>
      </c>
    </row>
    <row r="35" spans="11:11" x14ac:dyDescent="0.25">
      <c r="K35" t="str">
        <f t="shared" ref="K35:K66" si="1">IF(J35="","",SUMIFS($D$3:$D$9999,$B$3:$B$9999,J35,$C$3:$C$9999,"&gt;="&amp;StartDate,$C$3:$C$9999,"&lt;="&amp;EndDate))</f>
        <v/>
      </c>
    </row>
    <row r="36" spans="11:11" x14ac:dyDescent="0.25">
      <c r="K36" t="str">
        <f t="shared" si="1"/>
        <v/>
      </c>
    </row>
    <row r="37" spans="11:11" x14ac:dyDescent="0.25">
      <c r="K37" t="str">
        <f t="shared" si="1"/>
        <v/>
      </c>
    </row>
    <row r="38" spans="11:11" x14ac:dyDescent="0.25">
      <c r="K38" t="str">
        <f t="shared" si="1"/>
        <v/>
      </c>
    </row>
    <row r="39" spans="11:11" x14ac:dyDescent="0.25">
      <c r="K39" t="str">
        <f t="shared" si="1"/>
        <v/>
      </c>
    </row>
    <row r="40" spans="11:11" x14ac:dyDescent="0.25">
      <c r="K40" t="str">
        <f t="shared" si="1"/>
        <v/>
      </c>
    </row>
    <row r="41" spans="11:11" x14ac:dyDescent="0.25">
      <c r="K41" t="str">
        <f t="shared" si="1"/>
        <v/>
      </c>
    </row>
    <row r="42" spans="11:11" x14ac:dyDescent="0.25">
      <c r="K42" t="str">
        <f t="shared" si="1"/>
        <v/>
      </c>
    </row>
    <row r="43" spans="11:11" x14ac:dyDescent="0.25">
      <c r="K43" t="str">
        <f t="shared" si="1"/>
        <v/>
      </c>
    </row>
    <row r="44" spans="11:11" x14ac:dyDescent="0.25">
      <c r="K44" t="str">
        <f t="shared" si="1"/>
        <v/>
      </c>
    </row>
    <row r="45" spans="11:11" x14ac:dyDescent="0.25">
      <c r="K45" t="str">
        <f t="shared" si="1"/>
        <v/>
      </c>
    </row>
    <row r="46" spans="11:11" x14ac:dyDescent="0.25">
      <c r="K46" t="str">
        <f t="shared" si="1"/>
        <v/>
      </c>
    </row>
    <row r="47" spans="11:11" x14ac:dyDescent="0.25">
      <c r="K47" t="str">
        <f t="shared" si="1"/>
        <v/>
      </c>
    </row>
    <row r="48" spans="11:11" x14ac:dyDescent="0.25">
      <c r="K48" t="str">
        <f t="shared" si="1"/>
        <v/>
      </c>
    </row>
    <row r="49" spans="11:11" x14ac:dyDescent="0.25">
      <c r="K49" t="str">
        <f t="shared" si="1"/>
        <v/>
      </c>
    </row>
    <row r="50" spans="11:11" x14ac:dyDescent="0.25">
      <c r="K50" t="str">
        <f t="shared" si="1"/>
        <v/>
      </c>
    </row>
    <row r="51" spans="11:11" x14ac:dyDescent="0.25">
      <c r="K51" t="str">
        <f t="shared" si="1"/>
        <v/>
      </c>
    </row>
    <row r="52" spans="11:11" x14ac:dyDescent="0.25">
      <c r="K52" t="str">
        <f t="shared" si="1"/>
        <v/>
      </c>
    </row>
    <row r="53" spans="11:11" x14ac:dyDescent="0.25">
      <c r="K53" t="str">
        <f t="shared" si="1"/>
        <v/>
      </c>
    </row>
    <row r="54" spans="11:11" x14ac:dyDescent="0.25">
      <c r="K54" t="str">
        <f t="shared" si="1"/>
        <v/>
      </c>
    </row>
    <row r="55" spans="11:11" x14ac:dyDescent="0.25">
      <c r="K55" t="str">
        <f t="shared" si="1"/>
        <v/>
      </c>
    </row>
    <row r="56" spans="11:11" x14ac:dyDescent="0.25">
      <c r="K56" t="str">
        <f t="shared" si="1"/>
        <v/>
      </c>
    </row>
    <row r="57" spans="11:11" x14ac:dyDescent="0.25">
      <c r="K57" t="str">
        <f t="shared" si="1"/>
        <v/>
      </c>
    </row>
    <row r="58" spans="11:11" x14ac:dyDescent="0.25">
      <c r="K58" t="str">
        <f t="shared" si="1"/>
        <v/>
      </c>
    </row>
    <row r="59" spans="11:11" x14ac:dyDescent="0.25">
      <c r="K59" t="str">
        <f t="shared" si="1"/>
        <v/>
      </c>
    </row>
    <row r="60" spans="11:11" x14ac:dyDescent="0.25">
      <c r="K60" t="str">
        <f t="shared" si="1"/>
        <v/>
      </c>
    </row>
    <row r="61" spans="11:11" x14ac:dyDescent="0.25">
      <c r="K61" t="str">
        <f t="shared" si="1"/>
        <v/>
      </c>
    </row>
    <row r="62" spans="11:11" x14ac:dyDescent="0.25">
      <c r="K62" t="str">
        <f t="shared" si="1"/>
        <v/>
      </c>
    </row>
    <row r="63" spans="11:11" x14ac:dyDescent="0.25">
      <c r="K63" t="str">
        <f t="shared" si="1"/>
        <v/>
      </c>
    </row>
    <row r="64" spans="11:11" x14ac:dyDescent="0.25">
      <c r="K64" t="str">
        <f t="shared" si="1"/>
        <v/>
      </c>
    </row>
    <row r="65" spans="11:11" x14ac:dyDescent="0.25">
      <c r="K65" t="str">
        <f t="shared" si="1"/>
        <v/>
      </c>
    </row>
    <row r="66" spans="11:11" x14ac:dyDescent="0.25">
      <c r="K66" t="str">
        <f t="shared" si="1"/>
        <v/>
      </c>
    </row>
    <row r="67" spans="11:11" x14ac:dyDescent="0.25">
      <c r="K67" t="str">
        <f t="shared" ref="K67:K98" si="2">IF(J67="","",SUMIFS($D$3:$D$9999,$B$3:$B$9999,J67,$C$3:$C$9999,"&gt;="&amp;StartDate,$C$3:$C$9999,"&lt;="&amp;EndDate))</f>
        <v/>
      </c>
    </row>
    <row r="68" spans="11:11" x14ac:dyDescent="0.25">
      <c r="K68" t="str">
        <f t="shared" si="2"/>
        <v/>
      </c>
    </row>
    <row r="69" spans="11:11" x14ac:dyDescent="0.25">
      <c r="K69" t="str">
        <f t="shared" si="2"/>
        <v/>
      </c>
    </row>
    <row r="70" spans="11:11" x14ac:dyDescent="0.25">
      <c r="K70" t="str">
        <f t="shared" si="2"/>
        <v/>
      </c>
    </row>
    <row r="71" spans="11:11" x14ac:dyDescent="0.25">
      <c r="K71" t="str">
        <f t="shared" si="2"/>
        <v/>
      </c>
    </row>
    <row r="72" spans="11:11" x14ac:dyDescent="0.25">
      <c r="K72" t="str">
        <f t="shared" si="2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2A61F-BCE9-4132-9A2C-7B0F4C28D097}">
  <sheetPr codeName="Sheet3"/>
  <dimension ref="A2:K12"/>
  <sheetViews>
    <sheetView workbookViewId="0">
      <selection activeCell="Q14" sqref="Q14"/>
    </sheetView>
  </sheetViews>
  <sheetFormatPr defaultRowHeight="15" x14ac:dyDescent="0.25"/>
  <cols>
    <col min="3" max="3" width="25.7109375" customWidth="1"/>
    <col min="6" max="6" width="15.85546875" customWidth="1"/>
    <col min="8" max="8" width="17.28515625" customWidth="1"/>
  </cols>
  <sheetData>
    <row r="2" spans="1:11" x14ac:dyDescent="0.25">
      <c r="A2">
        <v>1</v>
      </c>
      <c r="B2" t="s">
        <v>110</v>
      </c>
      <c r="C2" s="23">
        <v>43842</v>
      </c>
      <c r="D2" s="29">
        <v>52</v>
      </c>
      <c r="J2" t="s">
        <v>110</v>
      </c>
      <c r="K2" s="23">
        <v>43842</v>
      </c>
    </row>
    <row r="3" spans="1:11" x14ac:dyDescent="0.25">
      <c r="A3">
        <v>1</v>
      </c>
      <c r="B3" t="s">
        <v>110</v>
      </c>
      <c r="C3" s="23">
        <v>43944</v>
      </c>
      <c r="D3" s="29">
        <v>58</v>
      </c>
      <c r="F3" t="s">
        <v>46</v>
      </c>
      <c r="H3" t="s">
        <v>51</v>
      </c>
    </row>
    <row r="4" spans="1:11" x14ac:dyDescent="0.25">
      <c r="A4">
        <v>1</v>
      </c>
      <c r="B4" t="s">
        <v>121</v>
      </c>
      <c r="C4" s="23">
        <v>43864</v>
      </c>
      <c r="D4" s="29">
        <v>58</v>
      </c>
      <c r="F4" t="s">
        <v>45</v>
      </c>
      <c r="H4" t="s">
        <v>52</v>
      </c>
    </row>
    <row r="5" spans="1:11" x14ac:dyDescent="0.25">
      <c r="A5">
        <v>1</v>
      </c>
      <c r="B5" t="s">
        <v>110</v>
      </c>
      <c r="C5" s="23">
        <v>43865</v>
      </c>
      <c r="D5" s="29">
        <v>60</v>
      </c>
      <c r="F5" t="s">
        <v>47</v>
      </c>
      <c r="H5" t="s">
        <v>53</v>
      </c>
    </row>
    <row r="6" spans="1:11" x14ac:dyDescent="0.25">
      <c r="A6">
        <v>1</v>
      </c>
      <c r="B6" t="s">
        <v>121</v>
      </c>
      <c r="C6" s="23">
        <v>43865</v>
      </c>
      <c r="D6" s="29">
        <v>49</v>
      </c>
      <c r="F6" t="s">
        <v>48</v>
      </c>
      <c r="H6" t="s">
        <v>54</v>
      </c>
    </row>
    <row r="7" spans="1:11" x14ac:dyDescent="0.25">
      <c r="A7">
        <v>1</v>
      </c>
      <c r="B7" t="s">
        <v>150</v>
      </c>
      <c r="C7" s="23">
        <v>43864</v>
      </c>
      <c r="D7" s="29">
        <v>57</v>
      </c>
      <c r="F7" t="s">
        <v>49</v>
      </c>
      <c r="H7" t="s">
        <v>55</v>
      </c>
    </row>
    <row r="8" spans="1:11" x14ac:dyDescent="0.25">
      <c r="A8">
        <v>1</v>
      </c>
      <c r="B8" t="s">
        <v>121</v>
      </c>
      <c r="C8" s="23">
        <v>43832</v>
      </c>
      <c r="D8" s="29">
        <v>100</v>
      </c>
      <c r="F8" t="s">
        <v>50</v>
      </c>
      <c r="H8" t="s">
        <v>56</v>
      </c>
    </row>
    <row r="9" spans="1:11" x14ac:dyDescent="0.25">
      <c r="A9">
        <v>1</v>
      </c>
      <c r="B9" t="s">
        <v>110</v>
      </c>
      <c r="C9" s="23">
        <v>43832</v>
      </c>
      <c r="D9" s="29">
        <v>14</v>
      </c>
    </row>
    <row r="10" spans="1:11" x14ac:dyDescent="0.25">
      <c r="C10" t="s">
        <v>39</v>
      </c>
      <c r="D10" t="s">
        <v>44</v>
      </c>
    </row>
    <row r="11" spans="1:11" x14ac:dyDescent="0.25">
      <c r="C11" t="s">
        <v>40</v>
      </c>
      <c r="D11" t="s">
        <v>44</v>
      </c>
    </row>
    <row r="12" spans="1:11" x14ac:dyDescent="0.25">
      <c r="C12" t="s">
        <v>41</v>
      </c>
      <c r="D12" t="s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A1D08-C8FB-4B27-A530-9824DC0DC13A}">
  <sheetPr codeName="Sheet4"/>
  <dimension ref="A1:F29"/>
  <sheetViews>
    <sheetView workbookViewId="0">
      <selection activeCell="R26" sqref="R26"/>
    </sheetView>
  </sheetViews>
  <sheetFormatPr defaultRowHeight="15" x14ac:dyDescent="0.25"/>
  <cols>
    <col min="3" max="3" width="13.28515625" customWidth="1"/>
    <col min="5" max="5" width="9.140625" style="24"/>
  </cols>
  <sheetData>
    <row r="1" spans="1:6" x14ac:dyDescent="0.25">
      <c r="A1" t="s">
        <v>57</v>
      </c>
    </row>
    <row r="2" spans="1:6" x14ac:dyDescent="0.25">
      <c r="A2" t="s">
        <v>27</v>
      </c>
      <c r="B2" t="s">
        <v>15</v>
      </c>
      <c r="C2" t="s">
        <v>16</v>
      </c>
      <c r="D2" t="s">
        <v>58</v>
      </c>
      <c r="E2" s="24" t="s">
        <v>11</v>
      </c>
      <c r="F2" t="s">
        <v>18</v>
      </c>
    </row>
    <row r="3" spans="1:6" x14ac:dyDescent="0.25">
      <c r="A3">
        <v>1</v>
      </c>
      <c r="B3" t="s">
        <v>59</v>
      </c>
      <c r="C3" t="s">
        <v>67</v>
      </c>
      <c r="D3">
        <v>1</v>
      </c>
      <c r="E3" s="24">
        <v>16</v>
      </c>
      <c r="F3" s="24">
        <f>SUM(D3*E3)</f>
        <v>16</v>
      </c>
    </row>
    <row r="4" spans="1:6" x14ac:dyDescent="0.25">
      <c r="A4">
        <v>1</v>
      </c>
      <c r="B4" t="s">
        <v>60</v>
      </c>
      <c r="C4" t="s">
        <v>68</v>
      </c>
      <c r="D4">
        <v>1</v>
      </c>
      <c r="E4" s="24">
        <v>14</v>
      </c>
      <c r="F4" s="24">
        <f t="shared" ref="F4:F15" si="0">SUM(D4*E4)</f>
        <v>14</v>
      </c>
    </row>
    <row r="5" spans="1:6" x14ac:dyDescent="0.25">
      <c r="A5">
        <v>1</v>
      </c>
      <c r="B5" t="s">
        <v>61</v>
      </c>
      <c r="C5" t="s">
        <v>67</v>
      </c>
      <c r="D5">
        <v>1</v>
      </c>
      <c r="E5" s="24">
        <v>19</v>
      </c>
      <c r="F5" s="24">
        <f t="shared" si="0"/>
        <v>19</v>
      </c>
    </row>
    <row r="6" spans="1:6" x14ac:dyDescent="0.25">
      <c r="A6">
        <v>2</v>
      </c>
      <c r="B6" t="s">
        <v>62</v>
      </c>
      <c r="C6" t="s">
        <v>67</v>
      </c>
      <c r="D6">
        <v>1</v>
      </c>
      <c r="E6" s="24">
        <v>21</v>
      </c>
      <c r="F6" s="24">
        <f t="shared" si="0"/>
        <v>21</v>
      </c>
    </row>
    <row r="7" spans="1:6" x14ac:dyDescent="0.25">
      <c r="A7">
        <v>2</v>
      </c>
      <c r="B7" t="s">
        <v>63</v>
      </c>
      <c r="C7" t="s">
        <v>66</v>
      </c>
      <c r="D7">
        <v>2</v>
      </c>
      <c r="E7" s="24">
        <v>16</v>
      </c>
      <c r="F7" s="24">
        <f t="shared" si="0"/>
        <v>32</v>
      </c>
    </row>
    <row r="8" spans="1:6" x14ac:dyDescent="0.25">
      <c r="A8">
        <v>2</v>
      </c>
      <c r="B8" t="s">
        <v>64</v>
      </c>
      <c r="C8" t="s">
        <v>65</v>
      </c>
      <c r="D8">
        <v>1</v>
      </c>
      <c r="E8" s="24">
        <v>22</v>
      </c>
      <c r="F8" s="24">
        <f t="shared" si="0"/>
        <v>22</v>
      </c>
    </row>
    <row r="9" spans="1:6" x14ac:dyDescent="0.25">
      <c r="A9">
        <v>3</v>
      </c>
      <c r="B9" t="s">
        <v>59</v>
      </c>
      <c r="C9" t="s">
        <v>67</v>
      </c>
      <c r="D9">
        <v>1</v>
      </c>
      <c r="E9" s="24">
        <v>14</v>
      </c>
      <c r="F9" s="24">
        <f t="shared" si="0"/>
        <v>14</v>
      </c>
    </row>
    <row r="10" spans="1:6" x14ac:dyDescent="0.25">
      <c r="A10">
        <v>3</v>
      </c>
      <c r="B10" t="s">
        <v>60</v>
      </c>
      <c r="C10" t="s">
        <v>68</v>
      </c>
      <c r="D10">
        <v>1</v>
      </c>
      <c r="E10" s="24">
        <v>16</v>
      </c>
      <c r="F10" s="24">
        <f t="shared" si="0"/>
        <v>16</v>
      </c>
    </row>
    <row r="11" spans="1:6" x14ac:dyDescent="0.25">
      <c r="A11">
        <v>4</v>
      </c>
      <c r="B11" t="s">
        <v>61</v>
      </c>
      <c r="C11" t="s">
        <v>67</v>
      </c>
      <c r="D11">
        <v>1</v>
      </c>
      <c r="E11" s="24">
        <v>14</v>
      </c>
      <c r="F11" s="24">
        <f t="shared" si="0"/>
        <v>14</v>
      </c>
    </row>
    <row r="12" spans="1:6" x14ac:dyDescent="0.25">
      <c r="A12">
        <v>4</v>
      </c>
      <c r="B12" t="s">
        <v>59</v>
      </c>
      <c r="C12" t="s">
        <v>67</v>
      </c>
      <c r="D12">
        <v>1</v>
      </c>
      <c r="E12" s="24">
        <v>16</v>
      </c>
      <c r="F12" s="24">
        <f t="shared" si="0"/>
        <v>16</v>
      </c>
    </row>
    <row r="13" spans="1:6" x14ac:dyDescent="0.25">
      <c r="A13">
        <v>5</v>
      </c>
      <c r="B13" t="s">
        <v>61</v>
      </c>
      <c r="C13" t="s">
        <v>67</v>
      </c>
      <c r="D13">
        <v>1</v>
      </c>
      <c r="E13" s="24">
        <v>16</v>
      </c>
      <c r="F13" s="24">
        <f t="shared" si="0"/>
        <v>16</v>
      </c>
    </row>
    <row r="14" spans="1:6" x14ac:dyDescent="0.25">
      <c r="A14">
        <v>5</v>
      </c>
      <c r="B14" t="s">
        <v>60</v>
      </c>
      <c r="C14" t="s">
        <v>68</v>
      </c>
      <c r="D14">
        <v>1</v>
      </c>
      <c r="E14" s="24">
        <v>19</v>
      </c>
      <c r="F14" s="24">
        <f t="shared" si="0"/>
        <v>19</v>
      </c>
    </row>
    <row r="15" spans="1:6" x14ac:dyDescent="0.25">
      <c r="A15">
        <v>6</v>
      </c>
      <c r="B15" t="s">
        <v>59</v>
      </c>
      <c r="C15" t="s">
        <v>67</v>
      </c>
      <c r="D15">
        <v>1</v>
      </c>
      <c r="E15" s="24">
        <v>14</v>
      </c>
      <c r="F15" s="24">
        <f t="shared" si="0"/>
        <v>14</v>
      </c>
    </row>
    <row r="16" spans="1:6" x14ac:dyDescent="0.25">
      <c r="A16">
        <v>1</v>
      </c>
      <c r="B16" t="s">
        <v>60</v>
      </c>
      <c r="C16" t="s">
        <v>68</v>
      </c>
      <c r="D16">
        <v>1</v>
      </c>
      <c r="E16" s="24">
        <v>22</v>
      </c>
      <c r="F16" s="24">
        <v>22</v>
      </c>
    </row>
    <row r="17" spans="1:6" x14ac:dyDescent="0.25">
      <c r="A17">
        <v>1</v>
      </c>
      <c r="B17" t="s">
        <v>60</v>
      </c>
      <c r="C17" t="s">
        <v>68</v>
      </c>
      <c r="D17">
        <v>1</v>
      </c>
      <c r="E17" s="24">
        <v>22</v>
      </c>
      <c r="F17" s="24">
        <v>22</v>
      </c>
    </row>
    <row r="18" spans="1:6" x14ac:dyDescent="0.25">
      <c r="A18">
        <v>1</v>
      </c>
      <c r="B18" t="s">
        <v>62</v>
      </c>
      <c r="C18" t="s">
        <v>67</v>
      </c>
      <c r="D18">
        <v>1</v>
      </c>
      <c r="E18" s="24">
        <v>16</v>
      </c>
      <c r="F18" s="29">
        <v>16</v>
      </c>
    </row>
    <row r="19" spans="1:6" x14ac:dyDescent="0.25">
      <c r="A19">
        <v>1</v>
      </c>
      <c r="B19" t="s">
        <v>60</v>
      </c>
      <c r="C19" t="s">
        <v>68</v>
      </c>
      <c r="D19">
        <v>1</v>
      </c>
      <c r="E19" s="24">
        <v>22</v>
      </c>
      <c r="F19" s="29">
        <v>22</v>
      </c>
    </row>
    <row r="20" spans="1:6" x14ac:dyDescent="0.25">
      <c r="A20">
        <v>1</v>
      </c>
      <c r="B20" t="s">
        <v>63</v>
      </c>
      <c r="C20" t="s">
        <v>66</v>
      </c>
      <c r="D20">
        <v>1</v>
      </c>
      <c r="E20" s="24">
        <v>19</v>
      </c>
      <c r="F20" s="29">
        <v>19</v>
      </c>
    </row>
    <row r="21" spans="1:6" x14ac:dyDescent="0.25">
      <c r="A21">
        <v>1</v>
      </c>
      <c r="B21" t="s">
        <v>62</v>
      </c>
      <c r="C21" t="s">
        <v>67</v>
      </c>
      <c r="D21">
        <v>1</v>
      </c>
      <c r="E21" s="24">
        <v>16</v>
      </c>
      <c r="F21" s="29">
        <v>16</v>
      </c>
    </row>
    <row r="22" spans="1:6" x14ac:dyDescent="0.25">
      <c r="A22">
        <v>1</v>
      </c>
      <c r="B22" t="s">
        <v>60</v>
      </c>
      <c r="C22" t="s">
        <v>68</v>
      </c>
      <c r="D22">
        <v>1</v>
      </c>
      <c r="E22" s="24">
        <v>22</v>
      </c>
      <c r="F22" s="29">
        <v>22</v>
      </c>
    </row>
    <row r="23" spans="1:6" x14ac:dyDescent="0.25">
      <c r="A23">
        <v>1</v>
      </c>
      <c r="B23" t="s">
        <v>62</v>
      </c>
      <c r="C23" t="s">
        <v>67</v>
      </c>
      <c r="D23">
        <v>1</v>
      </c>
      <c r="E23" s="24">
        <v>16</v>
      </c>
      <c r="F23" s="29">
        <v>16</v>
      </c>
    </row>
    <row r="24" spans="1:6" x14ac:dyDescent="0.25">
      <c r="A24">
        <v>1</v>
      </c>
      <c r="B24" t="s">
        <v>63</v>
      </c>
      <c r="C24" t="s">
        <v>66</v>
      </c>
      <c r="D24">
        <v>1</v>
      </c>
      <c r="E24" s="24">
        <v>19</v>
      </c>
      <c r="F24" s="29">
        <v>19</v>
      </c>
    </row>
    <row r="25" spans="1:6" x14ac:dyDescent="0.25">
      <c r="A25">
        <v>1</v>
      </c>
      <c r="B25" t="s">
        <v>62</v>
      </c>
      <c r="C25" t="s">
        <v>67</v>
      </c>
      <c r="D25">
        <v>1</v>
      </c>
      <c r="E25" s="24">
        <v>16</v>
      </c>
      <c r="F25" s="29">
        <v>16</v>
      </c>
    </row>
    <row r="26" spans="1:6" x14ac:dyDescent="0.25">
      <c r="A26">
        <v>1</v>
      </c>
      <c r="B26" t="s">
        <v>63</v>
      </c>
      <c r="C26" t="s">
        <v>66</v>
      </c>
      <c r="D26">
        <v>1</v>
      </c>
      <c r="E26" s="24">
        <v>19</v>
      </c>
      <c r="F26" s="29">
        <v>19</v>
      </c>
    </row>
    <row r="27" spans="1:6" x14ac:dyDescent="0.25">
      <c r="A27">
        <v>1</v>
      </c>
      <c r="B27" t="s">
        <v>62</v>
      </c>
      <c r="C27" t="s">
        <v>67</v>
      </c>
      <c r="D27">
        <v>1</v>
      </c>
      <c r="E27" s="24">
        <v>16</v>
      </c>
      <c r="F27" s="29">
        <v>16</v>
      </c>
    </row>
    <row r="28" spans="1:6" x14ac:dyDescent="0.25">
      <c r="A28">
        <v>1</v>
      </c>
      <c r="B28" t="s">
        <v>61</v>
      </c>
      <c r="C28" t="s">
        <v>67</v>
      </c>
      <c r="D28">
        <v>1</v>
      </c>
      <c r="E28" s="24">
        <v>14</v>
      </c>
      <c r="F28" s="29">
        <v>14</v>
      </c>
    </row>
    <row r="29" spans="1:6" x14ac:dyDescent="0.25">
      <c r="A29">
        <v>1</v>
      </c>
      <c r="B29" t="s">
        <v>61</v>
      </c>
      <c r="C29" t="s">
        <v>67</v>
      </c>
      <c r="D29">
        <v>1</v>
      </c>
      <c r="E29" s="24">
        <v>14</v>
      </c>
      <c r="F29" s="29"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20A97-E5B8-4F29-A5AB-9DAD880F36EB}">
  <sheetPr codeName="Sheet5"/>
  <dimension ref="A1:D7"/>
  <sheetViews>
    <sheetView workbookViewId="0">
      <selection activeCell="D6" sqref="D6"/>
    </sheetView>
  </sheetViews>
  <sheetFormatPr defaultRowHeight="15" x14ac:dyDescent="0.25"/>
  <cols>
    <col min="3" max="3" width="9.42578125" bestFit="1" customWidth="1"/>
    <col min="4" max="4" width="9.140625" style="24"/>
  </cols>
  <sheetData>
    <row r="1" spans="1:4" x14ac:dyDescent="0.25">
      <c r="A1" t="s">
        <v>69</v>
      </c>
    </row>
    <row r="2" spans="1:4" x14ac:dyDescent="0.25">
      <c r="A2" t="s">
        <v>70</v>
      </c>
      <c r="B2" t="s">
        <v>71</v>
      </c>
      <c r="C2" t="s">
        <v>9</v>
      </c>
      <c r="D2" s="24" t="s">
        <v>18</v>
      </c>
    </row>
    <row r="3" spans="1:4" x14ac:dyDescent="0.25">
      <c r="A3">
        <v>1</v>
      </c>
      <c r="B3" t="s">
        <v>72</v>
      </c>
      <c r="C3" s="23">
        <v>43832</v>
      </c>
      <c r="D3" s="24">
        <v>754</v>
      </c>
    </row>
    <row r="4" spans="1:4" x14ac:dyDescent="0.25">
      <c r="A4">
        <v>2</v>
      </c>
      <c r="B4" t="s">
        <v>73</v>
      </c>
      <c r="C4" s="23">
        <v>43835</v>
      </c>
      <c r="D4" s="24">
        <v>468</v>
      </c>
    </row>
    <row r="5" spans="1:4" x14ac:dyDescent="0.25">
      <c r="A5">
        <v>3</v>
      </c>
      <c r="B5" t="s">
        <v>74</v>
      </c>
      <c r="C5" s="23">
        <v>43855</v>
      </c>
      <c r="D5" s="24">
        <v>1080</v>
      </c>
    </row>
    <row r="6" spans="1:4" x14ac:dyDescent="0.25">
      <c r="A6">
        <v>4</v>
      </c>
      <c r="B6" t="s">
        <v>54</v>
      </c>
      <c r="C6" s="23">
        <v>43864</v>
      </c>
      <c r="D6" s="24">
        <v>516</v>
      </c>
    </row>
    <row r="7" spans="1:4" x14ac:dyDescent="0.25">
      <c r="A7">
        <v>5</v>
      </c>
      <c r="B7" t="s">
        <v>55</v>
      </c>
      <c r="C7" s="23">
        <v>43926</v>
      </c>
      <c r="D7" s="24">
        <v>240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4DE19-556F-4BFC-A4C2-05121E694B4D}">
  <sheetPr codeName="Sheet6"/>
  <dimension ref="A1:F13"/>
  <sheetViews>
    <sheetView workbookViewId="0">
      <selection activeCell="I18" sqref="I18"/>
    </sheetView>
  </sheetViews>
  <sheetFormatPr defaultRowHeight="15" x14ac:dyDescent="0.25"/>
  <cols>
    <col min="5" max="5" width="9.140625" style="24"/>
  </cols>
  <sheetData>
    <row r="1" spans="1:6" x14ac:dyDescent="0.25">
      <c r="A1" t="s">
        <v>75</v>
      </c>
    </row>
    <row r="2" spans="1:6" x14ac:dyDescent="0.25">
      <c r="A2" t="s">
        <v>76</v>
      </c>
      <c r="B2" t="s">
        <v>15</v>
      </c>
      <c r="C2" t="s">
        <v>16</v>
      </c>
      <c r="D2" t="s">
        <v>58</v>
      </c>
      <c r="E2" s="24" t="s">
        <v>11</v>
      </c>
      <c r="F2" t="s">
        <v>18</v>
      </c>
    </row>
    <row r="3" spans="1:6" x14ac:dyDescent="0.25">
      <c r="A3">
        <v>1</v>
      </c>
      <c r="B3" t="s">
        <v>59</v>
      </c>
      <c r="C3" t="s">
        <v>67</v>
      </c>
      <c r="D3">
        <v>12</v>
      </c>
      <c r="E3" s="24">
        <v>11</v>
      </c>
      <c r="F3" s="24">
        <f>SUM(D3*E3)</f>
        <v>132</v>
      </c>
    </row>
    <row r="4" spans="1:6" x14ac:dyDescent="0.25">
      <c r="A4">
        <v>1</v>
      </c>
      <c r="B4" t="s">
        <v>60</v>
      </c>
      <c r="C4" t="s">
        <v>68</v>
      </c>
      <c r="D4">
        <v>14</v>
      </c>
      <c r="E4" s="24">
        <v>17</v>
      </c>
      <c r="F4" s="24">
        <f t="shared" ref="F4:F11" si="0">SUM(D4*E4)</f>
        <v>238</v>
      </c>
    </row>
    <row r="5" spans="1:6" x14ac:dyDescent="0.25">
      <c r="A5">
        <v>1</v>
      </c>
      <c r="B5" t="s">
        <v>61</v>
      </c>
      <c r="C5" t="s">
        <v>67</v>
      </c>
      <c r="D5">
        <v>24</v>
      </c>
      <c r="E5" s="24">
        <v>16</v>
      </c>
      <c r="F5" s="24">
        <f t="shared" si="0"/>
        <v>384</v>
      </c>
    </row>
    <row r="6" spans="1:6" x14ac:dyDescent="0.25">
      <c r="A6">
        <v>2</v>
      </c>
      <c r="B6" t="s">
        <v>62</v>
      </c>
      <c r="C6" t="s">
        <v>67</v>
      </c>
      <c r="D6">
        <v>12</v>
      </c>
      <c r="E6" s="24">
        <v>11</v>
      </c>
      <c r="F6" s="24">
        <f t="shared" si="0"/>
        <v>132</v>
      </c>
    </row>
    <row r="7" spans="1:6" x14ac:dyDescent="0.25">
      <c r="A7">
        <v>2</v>
      </c>
      <c r="B7" t="s">
        <v>63</v>
      </c>
      <c r="C7" t="s">
        <v>66</v>
      </c>
      <c r="D7">
        <v>12</v>
      </c>
      <c r="E7" s="24">
        <v>14</v>
      </c>
      <c r="F7" s="24">
        <f t="shared" si="0"/>
        <v>168</v>
      </c>
    </row>
    <row r="8" spans="1:6" x14ac:dyDescent="0.25">
      <c r="A8">
        <v>2</v>
      </c>
      <c r="B8" t="s">
        <v>64</v>
      </c>
      <c r="C8" t="s">
        <v>65</v>
      </c>
      <c r="D8">
        <v>12</v>
      </c>
      <c r="E8" s="24">
        <v>22</v>
      </c>
      <c r="F8" s="24">
        <f t="shared" si="0"/>
        <v>264</v>
      </c>
    </row>
    <row r="9" spans="1:6" x14ac:dyDescent="0.25">
      <c r="A9">
        <v>3</v>
      </c>
      <c r="B9" t="s">
        <v>59</v>
      </c>
      <c r="C9" t="s">
        <v>67</v>
      </c>
      <c r="D9">
        <v>24</v>
      </c>
      <c r="E9" s="24">
        <v>14</v>
      </c>
      <c r="F9" s="24">
        <f t="shared" si="0"/>
        <v>336</v>
      </c>
    </row>
    <row r="10" spans="1:6" x14ac:dyDescent="0.25">
      <c r="A10">
        <v>3</v>
      </c>
      <c r="B10" t="s">
        <v>60</v>
      </c>
      <c r="C10" t="s">
        <v>68</v>
      </c>
      <c r="D10">
        <v>12</v>
      </c>
      <c r="E10" s="24">
        <v>16</v>
      </c>
      <c r="F10" s="24">
        <f t="shared" si="0"/>
        <v>192</v>
      </c>
    </row>
    <row r="11" spans="1:6" x14ac:dyDescent="0.25">
      <c r="A11">
        <v>3</v>
      </c>
      <c r="B11" t="s">
        <v>61</v>
      </c>
      <c r="C11" t="s">
        <v>67</v>
      </c>
      <c r="D11">
        <v>24</v>
      </c>
      <c r="E11" s="24">
        <v>16</v>
      </c>
      <c r="F11" s="24">
        <f t="shared" si="0"/>
        <v>384</v>
      </c>
    </row>
    <row r="12" spans="1:6" x14ac:dyDescent="0.25">
      <c r="A12">
        <v>4</v>
      </c>
      <c r="B12" t="s">
        <v>61</v>
      </c>
      <c r="C12" t="s">
        <v>67</v>
      </c>
      <c r="D12">
        <v>12</v>
      </c>
      <c r="E12" s="24">
        <v>9</v>
      </c>
      <c r="F12" s="29">
        <v>108</v>
      </c>
    </row>
    <row r="13" spans="1:6" x14ac:dyDescent="0.25">
      <c r="A13">
        <v>5</v>
      </c>
      <c r="B13" t="s">
        <v>61</v>
      </c>
      <c r="C13" t="s">
        <v>67</v>
      </c>
      <c r="D13">
        <v>12</v>
      </c>
      <c r="E13" s="24">
        <v>9</v>
      </c>
      <c r="F13" s="29">
        <v>108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BA9FE-2811-46AA-99C8-51DEED4A9F3E}">
  <sheetPr codeName="Sheet7"/>
  <dimension ref="A1:K25"/>
  <sheetViews>
    <sheetView workbookViewId="0">
      <selection activeCell="N7" sqref="N7"/>
    </sheetView>
  </sheetViews>
  <sheetFormatPr defaultRowHeight="15" x14ac:dyDescent="0.25"/>
  <sheetData>
    <row r="1" spans="1:11" x14ac:dyDescent="0.25">
      <c r="A1" t="s">
        <v>77</v>
      </c>
    </row>
    <row r="2" spans="1:11" x14ac:dyDescent="0.25">
      <c r="A2" s="25" t="s">
        <v>78</v>
      </c>
      <c r="B2" s="25" t="s">
        <v>79</v>
      </c>
      <c r="C2" s="25" t="s">
        <v>80</v>
      </c>
      <c r="D2" s="25" t="s">
        <v>81</v>
      </c>
      <c r="E2" s="25" t="s">
        <v>42</v>
      </c>
      <c r="F2" s="25" t="s">
        <v>82</v>
      </c>
      <c r="G2" s="25" t="s">
        <v>83</v>
      </c>
      <c r="H2" s="25" t="s">
        <v>84</v>
      </c>
      <c r="I2" s="25" t="s">
        <v>85</v>
      </c>
      <c r="J2" s="25" t="s">
        <v>86</v>
      </c>
      <c r="K2" s="25" t="s">
        <v>87</v>
      </c>
    </row>
    <row r="3" spans="1:11" x14ac:dyDescent="0.25">
      <c r="A3" t="s">
        <v>88</v>
      </c>
      <c r="B3" t="s">
        <v>89</v>
      </c>
      <c r="C3" t="s">
        <v>90</v>
      </c>
      <c r="D3" t="s">
        <v>91</v>
      </c>
      <c r="E3" t="s">
        <v>92</v>
      </c>
      <c r="F3" t="s">
        <v>93</v>
      </c>
      <c r="G3" t="s">
        <v>94</v>
      </c>
      <c r="H3" t="s">
        <v>95</v>
      </c>
      <c r="I3" t="s">
        <v>96</v>
      </c>
      <c r="J3" t="s">
        <v>97</v>
      </c>
      <c r="K3" t="s">
        <v>98</v>
      </c>
    </row>
    <row r="4" spans="1:11" x14ac:dyDescent="0.25">
      <c r="A4" t="s">
        <v>99</v>
      </c>
      <c r="B4" t="s">
        <v>100</v>
      </c>
      <c r="C4" t="s">
        <v>101</v>
      </c>
      <c r="D4" t="s">
        <v>102</v>
      </c>
      <c r="E4" t="s">
        <v>103</v>
      </c>
      <c r="F4" t="s">
        <v>104</v>
      </c>
      <c r="G4" t="s">
        <v>94</v>
      </c>
      <c r="H4" t="s">
        <v>105</v>
      </c>
      <c r="I4" t="s">
        <v>106</v>
      </c>
      <c r="J4" t="s">
        <v>107</v>
      </c>
      <c r="K4" t="s">
        <v>108</v>
      </c>
    </row>
    <row r="5" spans="1:11" x14ac:dyDescent="0.25">
      <c r="A5" t="s">
        <v>109</v>
      </c>
      <c r="B5" t="s">
        <v>110</v>
      </c>
      <c r="C5" t="s">
        <v>111</v>
      </c>
      <c r="D5" t="s">
        <v>112</v>
      </c>
      <c r="E5" t="s">
        <v>113</v>
      </c>
      <c r="F5" t="s">
        <v>114</v>
      </c>
      <c r="G5" t="s">
        <v>115</v>
      </c>
      <c r="H5" t="s">
        <v>116</v>
      </c>
      <c r="I5" t="s">
        <v>117</v>
      </c>
      <c r="J5" t="s">
        <v>118</v>
      </c>
      <c r="K5" t="s">
        <v>119</v>
      </c>
    </row>
    <row r="6" spans="1:11" x14ac:dyDescent="0.25">
      <c r="A6" t="s">
        <v>120</v>
      </c>
      <c r="B6" t="s">
        <v>121</v>
      </c>
      <c r="C6" t="s">
        <v>122</v>
      </c>
      <c r="D6" t="s">
        <v>123</v>
      </c>
      <c r="E6" t="s">
        <v>124</v>
      </c>
      <c r="F6" t="s">
        <v>125</v>
      </c>
      <c r="G6" t="s">
        <v>94</v>
      </c>
      <c r="H6" t="s">
        <v>126</v>
      </c>
      <c r="I6" t="s">
        <v>127</v>
      </c>
      <c r="J6" t="s">
        <v>128</v>
      </c>
      <c r="K6" t="s">
        <v>129</v>
      </c>
    </row>
    <row r="7" spans="1:11" x14ac:dyDescent="0.25">
      <c r="A7" t="s">
        <v>130</v>
      </c>
      <c r="B7" t="s">
        <v>131</v>
      </c>
      <c r="C7" t="s">
        <v>132</v>
      </c>
      <c r="D7" t="s">
        <v>133</v>
      </c>
      <c r="E7" t="s">
        <v>134</v>
      </c>
      <c r="F7" t="s">
        <v>135</v>
      </c>
      <c r="G7" t="s">
        <v>94</v>
      </c>
      <c r="H7" t="s">
        <v>136</v>
      </c>
      <c r="I7" t="s">
        <v>137</v>
      </c>
      <c r="J7" t="s">
        <v>138</v>
      </c>
      <c r="K7" t="s">
        <v>139</v>
      </c>
    </row>
    <row r="8" spans="1:11" x14ac:dyDescent="0.25">
      <c r="A8" t="s">
        <v>140</v>
      </c>
      <c r="B8" t="s">
        <v>141</v>
      </c>
      <c r="C8" t="s">
        <v>142</v>
      </c>
      <c r="D8" t="s">
        <v>143</v>
      </c>
      <c r="E8" t="s">
        <v>113</v>
      </c>
      <c r="F8" t="s">
        <v>144</v>
      </c>
      <c r="G8" t="s">
        <v>94</v>
      </c>
      <c r="H8" t="s">
        <v>145</v>
      </c>
      <c r="I8" t="s">
        <v>146</v>
      </c>
      <c r="J8" t="s">
        <v>147</v>
      </c>
      <c r="K8" t="s">
        <v>148</v>
      </c>
    </row>
    <row r="9" spans="1:11" x14ac:dyDescent="0.25">
      <c r="A9" t="s">
        <v>149</v>
      </c>
      <c r="B9" t="s">
        <v>150</v>
      </c>
      <c r="C9" t="s">
        <v>151</v>
      </c>
      <c r="D9" t="s">
        <v>152</v>
      </c>
      <c r="E9" t="s">
        <v>124</v>
      </c>
      <c r="F9" t="s">
        <v>153</v>
      </c>
      <c r="G9" t="s">
        <v>115</v>
      </c>
      <c r="H9" t="s">
        <v>154</v>
      </c>
      <c r="I9" t="s">
        <v>155</v>
      </c>
      <c r="J9" t="s">
        <v>156</v>
      </c>
      <c r="K9" t="s">
        <v>157</v>
      </c>
    </row>
    <row r="10" spans="1:11" x14ac:dyDescent="0.25">
      <c r="A10" t="s">
        <v>158</v>
      </c>
      <c r="B10" t="s">
        <v>159</v>
      </c>
      <c r="C10" t="s">
        <v>160</v>
      </c>
      <c r="D10" t="s">
        <v>161</v>
      </c>
      <c r="E10" t="s">
        <v>92</v>
      </c>
      <c r="F10" t="s">
        <v>162</v>
      </c>
      <c r="G10" t="s">
        <v>94</v>
      </c>
      <c r="H10" t="s">
        <v>163</v>
      </c>
      <c r="I10" t="s">
        <v>164</v>
      </c>
      <c r="J10" t="s">
        <v>165</v>
      </c>
      <c r="K10" t="s">
        <v>166</v>
      </c>
    </row>
    <row r="11" spans="1:11" x14ac:dyDescent="0.25">
      <c r="A11" t="s">
        <v>167</v>
      </c>
      <c r="B11" t="s">
        <v>168</v>
      </c>
      <c r="C11" t="s">
        <v>169</v>
      </c>
      <c r="D11" t="s">
        <v>170</v>
      </c>
      <c r="E11" t="s">
        <v>113</v>
      </c>
      <c r="F11" t="s">
        <v>171</v>
      </c>
      <c r="G11" t="s">
        <v>115</v>
      </c>
      <c r="H11" t="s">
        <v>172</v>
      </c>
      <c r="I11" t="s">
        <v>173</v>
      </c>
      <c r="J11" t="s">
        <v>174</v>
      </c>
      <c r="K11" t="s">
        <v>175</v>
      </c>
    </row>
    <row r="12" spans="1:11" x14ac:dyDescent="0.25">
      <c r="A12" t="s">
        <v>176</v>
      </c>
      <c r="B12" t="s">
        <v>177</v>
      </c>
      <c r="C12" t="s">
        <v>178</v>
      </c>
      <c r="D12" t="s">
        <v>179</v>
      </c>
      <c r="E12" t="s">
        <v>124</v>
      </c>
      <c r="F12" t="s">
        <v>180</v>
      </c>
      <c r="G12" t="s">
        <v>94</v>
      </c>
      <c r="H12" t="s">
        <v>181</v>
      </c>
      <c r="I12" t="s">
        <v>182</v>
      </c>
      <c r="J12" t="s">
        <v>183</v>
      </c>
      <c r="K12" t="s">
        <v>184</v>
      </c>
    </row>
    <row r="13" spans="1:11" x14ac:dyDescent="0.25">
      <c r="A13" t="s">
        <v>185</v>
      </c>
      <c r="B13" t="s">
        <v>186</v>
      </c>
      <c r="C13" t="s">
        <v>187</v>
      </c>
      <c r="D13" t="s">
        <v>188</v>
      </c>
      <c r="E13" t="s">
        <v>103</v>
      </c>
      <c r="F13" t="s">
        <v>189</v>
      </c>
      <c r="G13" t="s">
        <v>94</v>
      </c>
      <c r="H13" t="s">
        <v>190</v>
      </c>
      <c r="I13" t="s">
        <v>191</v>
      </c>
      <c r="J13" t="s">
        <v>192</v>
      </c>
      <c r="K13" t="s">
        <v>193</v>
      </c>
    </row>
    <row r="14" spans="1:11" x14ac:dyDescent="0.25">
      <c r="A14" t="s">
        <v>194</v>
      </c>
      <c r="B14" t="s">
        <v>195</v>
      </c>
      <c r="C14" t="s">
        <v>196</v>
      </c>
      <c r="D14" t="s">
        <v>197</v>
      </c>
      <c r="E14" t="s">
        <v>124</v>
      </c>
      <c r="F14" t="s">
        <v>198</v>
      </c>
      <c r="G14" t="s">
        <v>94</v>
      </c>
      <c r="H14" t="s">
        <v>199</v>
      </c>
      <c r="I14" t="s">
        <v>200</v>
      </c>
      <c r="J14" t="s">
        <v>201</v>
      </c>
      <c r="K14" t="s">
        <v>202</v>
      </c>
    </row>
    <row r="15" spans="1:11" x14ac:dyDescent="0.25">
      <c r="A15" t="s">
        <v>203</v>
      </c>
      <c r="B15" t="s">
        <v>204</v>
      </c>
      <c r="C15" t="s">
        <v>205</v>
      </c>
      <c r="D15" t="s">
        <v>206</v>
      </c>
      <c r="E15" t="s">
        <v>134</v>
      </c>
      <c r="F15" t="s">
        <v>207</v>
      </c>
      <c r="G15" t="s">
        <v>115</v>
      </c>
      <c r="H15" t="s">
        <v>208</v>
      </c>
      <c r="I15" t="s">
        <v>209</v>
      </c>
      <c r="J15" t="s">
        <v>210</v>
      </c>
      <c r="K15" t="s">
        <v>211</v>
      </c>
    </row>
    <row r="16" spans="1:11" x14ac:dyDescent="0.25">
      <c r="A16" t="s">
        <v>212</v>
      </c>
      <c r="B16" t="s">
        <v>213</v>
      </c>
      <c r="C16" t="s">
        <v>214</v>
      </c>
      <c r="D16" t="s">
        <v>215</v>
      </c>
      <c r="E16" t="s">
        <v>92</v>
      </c>
      <c r="F16" t="s">
        <v>216</v>
      </c>
      <c r="G16" t="s">
        <v>94</v>
      </c>
      <c r="H16" t="s">
        <v>217</v>
      </c>
      <c r="I16" t="s">
        <v>218</v>
      </c>
      <c r="J16" t="s">
        <v>219</v>
      </c>
      <c r="K16" t="s">
        <v>220</v>
      </c>
    </row>
    <row r="17" spans="1:11" x14ac:dyDescent="0.25">
      <c r="A17" t="s">
        <v>221</v>
      </c>
      <c r="B17" t="s">
        <v>222</v>
      </c>
      <c r="C17" t="s">
        <v>223</v>
      </c>
      <c r="D17" t="s">
        <v>224</v>
      </c>
      <c r="E17" t="s">
        <v>113</v>
      </c>
      <c r="F17" t="s">
        <v>225</v>
      </c>
      <c r="G17" t="s">
        <v>94</v>
      </c>
      <c r="H17" t="s">
        <v>226</v>
      </c>
      <c r="I17" t="s">
        <v>227</v>
      </c>
      <c r="J17" t="s">
        <v>228</v>
      </c>
      <c r="K17" t="s">
        <v>229</v>
      </c>
    </row>
    <row r="18" spans="1:11" x14ac:dyDescent="0.25">
      <c r="A18" t="s">
        <v>230</v>
      </c>
      <c r="B18" t="s">
        <v>231</v>
      </c>
      <c r="C18" t="s">
        <v>232</v>
      </c>
      <c r="D18" t="s">
        <v>233</v>
      </c>
      <c r="E18" t="s">
        <v>124</v>
      </c>
      <c r="F18" t="s">
        <v>234</v>
      </c>
      <c r="G18" t="s">
        <v>94</v>
      </c>
      <c r="H18" t="s">
        <v>235</v>
      </c>
      <c r="I18" t="s">
        <v>236</v>
      </c>
      <c r="J18" t="s">
        <v>237</v>
      </c>
      <c r="K18" t="s">
        <v>238</v>
      </c>
    </row>
    <row r="19" spans="1:11" x14ac:dyDescent="0.25">
      <c r="A19" t="s">
        <v>239</v>
      </c>
      <c r="B19" t="s">
        <v>240</v>
      </c>
      <c r="C19" t="s">
        <v>241</v>
      </c>
      <c r="D19" t="s">
        <v>242</v>
      </c>
      <c r="E19" t="s">
        <v>113</v>
      </c>
      <c r="F19" t="s">
        <v>243</v>
      </c>
      <c r="G19" t="s">
        <v>115</v>
      </c>
      <c r="H19" t="s">
        <v>244</v>
      </c>
      <c r="I19" t="s">
        <v>245</v>
      </c>
      <c r="J19" t="s">
        <v>246</v>
      </c>
      <c r="K19" t="s">
        <v>247</v>
      </c>
    </row>
    <row r="20" spans="1:11" x14ac:dyDescent="0.25">
      <c r="A20" t="s">
        <v>248</v>
      </c>
      <c r="B20" t="s">
        <v>249</v>
      </c>
      <c r="C20" t="s">
        <v>250</v>
      </c>
      <c r="D20" t="s">
        <v>251</v>
      </c>
      <c r="E20" t="s">
        <v>134</v>
      </c>
      <c r="F20" t="s">
        <v>252</v>
      </c>
      <c r="G20" t="s">
        <v>94</v>
      </c>
      <c r="H20" t="s">
        <v>253</v>
      </c>
      <c r="I20" t="s">
        <v>254</v>
      </c>
      <c r="J20" t="s">
        <v>255</v>
      </c>
      <c r="K20" t="s">
        <v>256</v>
      </c>
    </row>
    <row r="21" spans="1:11" x14ac:dyDescent="0.25">
      <c r="A21" t="s">
        <v>257</v>
      </c>
      <c r="B21" t="s">
        <v>258</v>
      </c>
      <c r="C21" t="s">
        <v>259</v>
      </c>
      <c r="D21" t="s">
        <v>260</v>
      </c>
      <c r="E21" t="s">
        <v>92</v>
      </c>
      <c r="F21" t="s">
        <v>261</v>
      </c>
      <c r="G21" t="s">
        <v>94</v>
      </c>
      <c r="H21" t="s">
        <v>262</v>
      </c>
      <c r="I21" t="s">
        <v>263</v>
      </c>
      <c r="J21" t="s">
        <v>264</v>
      </c>
      <c r="K21" t="s">
        <v>265</v>
      </c>
    </row>
    <row r="22" spans="1:11" x14ac:dyDescent="0.25">
      <c r="A22" t="s">
        <v>266</v>
      </c>
      <c r="B22" t="s">
        <v>267</v>
      </c>
      <c r="C22" t="s">
        <v>268</v>
      </c>
      <c r="D22" t="s">
        <v>269</v>
      </c>
      <c r="E22" t="s">
        <v>113</v>
      </c>
      <c r="F22" t="s">
        <v>270</v>
      </c>
      <c r="G22" t="s">
        <v>115</v>
      </c>
      <c r="H22" t="s">
        <v>271</v>
      </c>
      <c r="I22" t="s">
        <v>272</v>
      </c>
      <c r="J22" t="s">
        <v>273</v>
      </c>
      <c r="K22" t="s">
        <v>274</v>
      </c>
    </row>
    <row r="23" spans="1:11" x14ac:dyDescent="0.25">
      <c r="A23" t="s">
        <v>275</v>
      </c>
      <c r="B23" t="s">
        <v>276</v>
      </c>
      <c r="C23" t="s">
        <v>277</v>
      </c>
      <c r="D23" t="s">
        <v>278</v>
      </c>
      <c r="E23" t="s">
        <v>134</v>
      </c>
      <c r="F23" t="s">
        <v>279</v>
      </c>
      <c r="G23" t="s">
        <v>94</v>
      </c>
      <c r="H23" t="s">
        <v>280</v>
      </c>
      <c r="I23" t="s">
        <v>281</v>
      </c>
      <c r="J23" t="s">
        <v>282</v>
      </c>
      <c r="K23" t="s">
        <v>283</v>
      </c>
    </row>
    <row r="24" spans="1:11" x14ac:dyDescent="0.25">
      <c r="A24" t="s">
        <v>284</v>
      </c>
      <c r="B24" t="s">
        <v>285</v>
      </c>
      <c r="C24" t="s">
        <v>286</v>
      </c>
      <c r="D24" t="s">
        <v>287</v>
      </c>
      <c r="E24" t="s">
        <v>124</v>
      </c>
      <c r="F24" t="s">
        <v>288</v>
      </c>
      <c r="G24" t="s">
        <v>94</v>
      </c>
      <c r="H24" t="s">
        <v>289</v>
      </c>
      <c r="I24" t="s">
        <v>290</v>
      </c>
      <c r="J24" t="s">
        <v>291</v>
      </c>
      <c r="K24" t="s">
        <v>292</v>
      </c>
    </row>
    <row r="25" spans="1:11" x14ac:dyDescent="0.25">
      <c r="A25" t="s">
        <v>293</v>
      </c>
      <c r="B25" t="s">
        <v>294</v>
      </c>
      <c r="C25" t="s">
        <v>295</v>
      </c>
      <c r="D25" t="s">
        <v>296</v>
      </c>
      <c r="E25" t="s">
        <v>92</v>
      </c>
      <c r="F25" t="s">
        <v>297</v>
      </c>
      <c r="G25" t="s">
        <v>94</v>
      </c>
      <c r="H25" t="s">
        <v>298</v>
      </c>
      <c r="I25" t="s">
        <v>299</v>
      </c>
      <c r="J25" t="s">
        <v>300</v>
      </c>
      <c r="K25" t="s">
        <v>301</v>
      </c>
    </row>
  </sheetData>
  <phoneticPr fontId="5" type="noConversion"/>
  <pageMargins left="0.7" right="0.7" top="0.75" bottom="0.75" header="0.3" footer="0.3"/>
  <ignoredErrors>
    <ignoredError sqref="A3 A4:A25 K3:K25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29E2F-B318-4973-B770-BD4DC3FD28E4}">
  <sheetPr codeName="Sheet8"/>
  <dimension ref="A1:K15"/>
  <sheetViews>
    <sheetView workbookViewId="0">
      <selection activeCell="K3" sqref="K3"/>
    </sheetView>
  </sheetViews>
  <sheetFormatPr defaultRowHeight="15" x14ac:dyDescent="0.25"/>
  <cols>
    <col min="4" max="5" width="9.140625" style="24"/>
  </cols>
  <sheetData>
    <row r="1" spans="1:11" x14ac:dyDescent="0.25">
      <c r="A1" t="s">
        <v>302</v>
      </c>
    </row>
    <row r="2" spans="1:11" x14ac:dyDescent="0.25">
      <c r="A2" t="s">
        <v>303</v>
      </c>
      <c r="B2" t="s">
        <v>304</v>
      </c>
      <c r="C2" t="s">
        <v>305</v>
      </c>
      <c r="D2" s="24" t="s">
        <v>306</v>
      </c>
      <c r="E2" s="24" t="s">
        <v>307</v>
      </c>
      <c r="H2" t="s">
        <v>303</v>
      </c>
      <c r="I2" t="s">
        <v>308</v>
      </c>
      <c r="J2" t="s">
        <v>309</v>
      </c>
      <c r="K2" t="s">
        <v>310</v>
      </c>
    </row>
    <row r="3" spans="1:11" x14ac:dyDescent="0.25">
      <c r="A3" t="s">
        <v>59</v>
      </c>
      <c r="B3" t="s">
        <v>67</v>
      </c>
      <c r="C3">
        <v>24</v>
      </c>
      <c r="D3" s="24">
        <v>22</v>
      </c>
      <c r="E3" s="24">
        <v>27</v>
      </c>
      <c r="H3" t="s">
        <v>59</v>
      </c>
      <c r="I3" cm="1">
        <f t="array" aca="1" ref="I3" ca="1">IF(H3="",",",SUMIF(Purch_ItemName,H3,Purch_ItemQty))</f>
        <v>36</v>
      </c>
      <c r="J3" cm="1">
        <f t="array" aca="1" ref="J3" ca="1">IF(H3="","",SUMIF(Inv_ItemName,H3,Inv_ItemQty))</f>
        <v>4</v>
      </c>
      <c r="K3">
        <f ca="1">IF(H3="","",I3-J3)</f>
        <v>32</v>
      </c>
    </row>
    <row r="4" spans="1:11" x14ac:dyDescent="0.25">
      <c r="A4" t="s">
        <v>60</v>
      </c>
      <c r="B4" t="s">
        <v>68</v>
      </c>
      <c r="C4">
        <v>24</v>
      </c>
      <c r="D4" s="24">
        <v>17</v>
      </c>
      <c r="E4" s="24">
        <v>22</v>
      </c>
      <c r="H4" t="s">
        <v>60</v>
      </c>
      <c r="I4" cm="1">
        <f t="array" aca="1" ref="I4" ca="1">IF(H4="",",",SUMIF(Purch_ItemName,H4,Purch_ItemQty))</f>
        <v>26</v>
      </c>
      <c r="J4" cm="1">
        <f t="array" aca="1" ref="J4" ca="1">IF(H4="","",SUMIF(Inv_ItemName,H4,Inv_ItemQty))</f>
        <v>7</v>
      </c>
      <c r="K4">
        <f t="shared" ref="K4:K15" ca="1" si="0">IF(H4="","",I4-J4)</f>
        <v>19</v>
      </c>
    </row>
    <row r="5" spans="1:11" x14ac:dyDescent="0.25">
      <c r="A5" t="s">
        <v>61</v>
      </c>
      <c r="B5" t="s">
        <v>67</v>
      </c>
      <c r="C5">
        <v>12</v>
      </c>
      <c r="D5" s="24">
        <v>9</v>
      </c>
      <c r="E5" s="24">
        <v>14</v>
      </c>
      <c r="H5" t="s">
        <v>61</v>
      </c>
      <c r="I5" cm="1">
        <f t="array" aca="1" ref="I5" ca="1">IF(H5="",",",SUMIF(Purch_ItemName,H5,Purch_ItemQty))</f>
        <v>72</v>
      </c>
      <c r="J5" cm="1">
        <f t="array" aca="1" ref="J5" ca="1">IF(H5="","",SUMIF(Inv_ItemName,H5,Inv_ItemQty))</f>
        <v>5</v>
      </c>
      <c r="K5">
        <f t="shared" ca="1" si="0"/>
        <v>67</v>
      </c>
    </row>
    <row r="6" spans="1:11" x14ac:dyDescent="0.25">
      <c r="A6" t="s">
        <v>62</v>
      </c>
      <c r="B6" t="s">
        <v>67</v>
      </c>
      <c r="C6">
        <v>12</v>
      </c>
      <c r="D6" s="24">
        <v>11</v>
      </c>
      <c r="E6" s="24">
        <v>16</v>
      </c>
      <c r="H6" t="s">
        <v>62</v>
      </c>
      <c r="I6" cm="1">
        <f t="array" aca="1" ref="I6" ca="1">IF(H6="",",",SUMIF(Purch_ItemName,H6,Purch_ItemQty))</f>
        <v>12</v>
      </c>
      <c r="J6" cm="1">
        <f t="array" aca="1" ref="J6" ca="1">IF(H6="","",SUMIF(Inv_ItemName,H6,Inv_ItemQty))</f>
        <v>6</v>
      </c>
      <c r="K6">
        <f t="shared" ca="1" si="0"/>
        <v>6</v>
      </c>
    </row>
    <row r="7" spans="1:11" x14ac:dyDescent="0.25">
      <c r="A7" t="s">
        <v>63</v>
      </c>
      <c r="B7" t="s">
        <v>66</v>
      </c>
      <c r="C7">
        <v>12</v>
      </c>
      <c r="D7" s="24">
        <v>14</v>
      </c>
      <c r="E7" s="24">
        <v>19</v>
      </c>
      <c r="H7" t="s">
        <v>63</v>
      </c>
      <c r="I7" cm="1">
        <f t="array" aca="1" ref="I7" ca="1">IF(H7="",",",SUMIF(Purch_ItemName,H7,Purch_ItemQty))</f>
        <v>12</v>
      </c>
      <c r="J7" cm="1">
        <f t="array" aca="1" ref="J7" ca="1">IF(H7="","",SUMIF(Inv_ItemName,H7,Inv_ItemQty))</f>
        <v>5</v>
      </c>
      <c r="K7">
        <f t="shared" ca="1" si="0"/>
        <v>7</v>
      </c>
    </row>
    <row r="8" spans="1:11" x14ac:dyDescent="0.25">
      <c r="A8" t="s">
        <v>64</v>
      </c>
      <c r="B8" t="s">
        <v>65</v>
      </c>
      <c r="C8">
        <v>24</v>
      </c>
      <c r="D8" s="24">
        <v>16</v>
      </c>
      <c r="E8" s="24">
        <v>21</v>
      </c>
      <c r="H8" t="s">
        <v>64</v>
      </c>
      <c r="I8" cm="1">
        <f t="array" aca="1" ref="I8" ca="1">IF(H8="",",",SUMIF(Purch_ItemName,H8,Purch_ItemQty))</f>
        <v>12</v>
      </c>
      <c r="J8" cm="1">
        <f t="array" aca="1" ref="J8" ca="1">IF(H8="","",SUMIF(Inv_ItemName,H8,Inv_ItemQty))</f>
        <v>1</v>
      </c>
      <c r="K8">
        <f t="shared" ca="1" si="0"/>
        <v>11</v>
      </c>
    </row>
    <row r="9" spans="1:11" x14ac:dyDescent="0.25">
      <c r="A9" t="s">
        <v>59</v>
      </c>
      <c r="B9" t="s">
        <v>67</v>
      </c>
      <c r="C9">
        <v>14</v>
      </c>
      <c r="D9" s="24">
        <v>17</v>
      </c>
      <c r="E9" s="24">
        <v>22</v>
      </c>
      <c r="H9" t="s">
        <v>59</v>
      </c>
      <c r="I9" cm="1">
        <f t="array" aca="1" ref="I9" ca="1">IF(H9="",",",SUMIF(Purch_ItemName,H9,Purch_ItemQty))</f>
        <v>36</v>
      </c>
      <c r="J9" cm="1">
        <f t="array" aca="1" ref="J9" ca="1">IF(H9="","",SUMIF(Inv_ItemName,H9,Inv_ItemQty))</f>
        <v>4</v>
      </c>
      <c r="K9">
        <f t="shared" ca="1" si="0"/>
        <v>32</v>
      </c>
    </row>
    <row r="10" spans="1:11" x14ac:dyDescent="0.25">
      <c r="A10" t="s">
        <v>60</v>
      </c>
      <c r="B10" t="s">
        <v>68</v>
      </c>
      <c r="C10">
        <v>12</v>
      </c>
      <c r="D10" s="24">
        <v>5</v>
      </c>
      <c r="E10" s="24">
        <v>10</v>
      </c>
      <c r="H10" t="s">
        <v>60</v>
      </c>
      <c r="I10" cm="1">
        <f t="array" aca="1" ref="I10" ca="1">IF(H10="",",",SUMIF(Purch_ItemName,H10,Purch_ItemQty))</f>
        <v>26</v>
      </c>
      <c r="J10" cm="1">
        <f t="array" aca="1" ref="J10" ca="1">IF(H10="","",SUMIF(Inv_ItemName,H10,Inv_ItemQty))</f>
        <v>7</v>
      </c>
      <c r="K10">
        <f t="shared" ca="1" si="0"/>
        <v>19</v>
      </c>
    </row>
    <row r="11" spans="1:11" x14ac:dyDescent="0.25">
      <c r="A11" t="s">
        <v>61</v>
      </c>
      <c r="B11" t="s">
        <v>67</v>
      </c>
      <c r="C11">
        <v>12</v>
      </c>
      <c r="D11" s="24">
        <v>10</v>
      </c>
      <c r="E11" s="24">
        <v>15</v>
      </c>
      <c r="H11" t="s">
        <v>61</v>
      </c>
      <c r="I11" cm="1">
        <f t="array" aca="1" ref="I11" ca="1">IF(H11="",",",SUMIF(Purch_ItemName,H11,Purch_ItemQty))</f>
        <v>72</v>
      </c>
      <c r="J11" cm="1">
        <f t="array" aca="1" ref="J11" ca="1">IF(H11="","",SUMIF(Inv_ItemName,H11,Inv_ItemQty))</f>
        <v>5</v>
      </c>
      <c r="K11">
        <f t="shared" ca="1" si="0"/>
        <v>67</v>
      </c>
    </row>
    <row r="12" spans="1:11" x14ac:dyDescent="0.25">
      <c r="A12" t="s">
        <v>61</v>
      </c>
      <c r="B12" t="s">
        <v>67</v>
      </c>
      <c r="C12">
        <v>20</v>
      </c>
      <c r="D12" s="24">
        <v>16</v>
      </c>
      <c r="E12" s="24">
        <v>21</v>
      </c>
      <c r="H12" t="s">
        <v>61</v>
      </c>
      <c r="I12" cm="1">
        <f t="array" aca="1" ref="I12" ca="1">IF(H12="",",",SUMIF(Purch_ItemName,H12,Purch_ItemQty))</f>
        <v>72</v>
      </c>
      <c r="J12" cm="1">
        <f t="array" aca="1" ref="J12" ca="1">IF(H12="","",SUMIF(Inv_ItemName,H12,Inv_ItemQty))</f>
        <v>5</v>
      </c>
      <c r="K12">
        <f t="shared" ca="1" si="0"/>
        <v>67</v>
      </c>
    </row>
    <row r="13" spans="1:11" x14ac:dyDescent="0.25">
      <c r="A13" t="s">
        <v>63</v>
      </c>
      <c r="B13" t="s">
        <v>66</v>
      </c>
      <c r="C13">
        <v>12</v>
      </c>
      <c r="D13" s="24">
        <v>10</v>
      </c>
      <c r="E13" s="24">
        <v>15</v>
      </c>
      <c r="H13" t="s">
        <v>63</v>
      </c>
      <c r="I13" cm="1">
        <f t="array" aca="1" ref="I13" ca="1">IF(H13="",",",SUMIF(Purch_ItemName,H13,Purch_ItemQty))</f>
        <v>12</v>
      </c>
      <c r="J13" cm="1">
        <f t="array" aca="1" ref="J13" ca="1">IF(H13="","",SUMIF(Inv_ItemName,H13,Inv_ItemQty))</f>
        <v>5</v>
      </c>
      <c r="K13">
        <f t="shared" ca="1" si="0"/>
        <v>7</v>
      </c>
    </row>
    <row r="14" spans="1:11" x14ac:dyDescent="0.25">
      <c r="A14" t="s">
        <v>61</v>
      </c>
      <c r="B14" t="s">
        <v>67</v>
      </c>
      <c r="C14">
        <v>24</v>
      </c>
      <c r="D14" s="24">
        <v>9</v>
      </c>
      <c r="E14" s="24">
        <v>14</v>
      </c>
      <c r="H14" t="s">
        <v>61</v>
      </c>
      <c r="I14" cm="1">
        <f t="array" aca="1" ref="I14" ca="1">IF(H14="",",",SUMIF(Purch_ItemName,H14,Purch_ItemQty))</f>
        <v>72</v>
      </c>
      <c r="J14" cm="1">
        <f t="array" aca="1" ref="J14" ca="1">IF(H14="","",SUMIF(Inv_ItemName,H14,Inv_ItemQty))</f>
        <v>5</v>
      </c>
      <c r="K14">
        <f t="shared" ca="1" si="0"/>
        <v>67</v>
      </c>
    </row>
    <row r="15" spans="1:11" x14ac:dyDescent="0.25">
      <c r="A15" t="s">
        <v>63</v>
      </c>
      <c r="B15" t="s">
        <v>66</v>
      </c>
      <c r="C15">
        <v>24</v>
      </c>
      <c r="D15" s="24">
        <v>9</v>
      </c>
      <c r="E15" s="24">
        <v>14</v>
      </c>
      <c r="H15" t="s">
        <v>63</v>
      </c>
      <c r="I15" cm="1">
        <f t="array" aca="1" ref="I15" ca="1">IF(H15="",",",SUMIF(Purch_ItemName,H15,Purch_ItemQty))</f>
        <v>12</v>
      </c>
      <c r="J15" cm="1">
        <f t="array" aca="1" ref="J15" ca="1">IF(H15="","",SUMIF(Inv_ItemName,H15,Inv_ItemQty))</f>
        <v>5</v>
      </c>
      <c r="K15">
        <f t="shared" ca="1" si="0"/>
        <v>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076BD-9A52-41FB-8B87-4667D2BB8185}">
  <sheetPr codeName="Sheet9"/>
  <dimension ref="A1:Q12"/>
  <sheetViews>
    <sheetView workbookViewId="0">
      <selection activeCell="J25" sqref="J25"/>
    </sheetView>
  </sheetViews>
  <sheetFormatPr defaultRowHeight="15" x14ac:dyDescent="0.25"/>
  <cols>
    <col min="1" max="1" width="9.42578125" bestFit="1" customWidth="1"/>
    <col min="2" max="2" width="9.140625" style="24"/>
  </cols>
  <sheetData>
    <row r="1" spans="1:17" x14ac:dyDescent="0.25">
      <c r="A1" t="s">
        <v>327</v>
      </c>
      <c r="B1" s="24" t="s">
        <v>311</v>
      </c>
      <c r="C1" t="s">
        <v>312</v>
      </c>
      <c r="D1" t="s">
        <v>313</v>
      </c>
      <c r="E1" t="s">
        <v>314</v>
      </c>
      <c r="F1" t="s">
        <v>315</v>
      </c>
      <c r="J1" t="s">
        <v>324</v>
      </c>
      <c r="M1" t="s">
        <v>325</v>
      </c>
    </row>
    <row r="2" spans="1:17" x14ac:dyDescent="0.25">
      <c r="A2" t="s">
        <v>316</v>
      </c>
      <c r="J2" t="s">
        <v>42</v>
      </c>
      <c r="K2" t="s">
        <v>42</v>
      </c>
      <c r="M2" t="s">
        <v>10</v>
      </c>
      <c r="N2" t="s">
        <v>11</v>
      </c>
      <c r="P2" t="s">
        <v>10</v>
      </c>
      <c r="Q2" t="s">
        <v>42</v>
      </c>
    </row>
    <row r="3" spans="1:17" x14ac:dyDescent="0.25">
      <c r="A3" t="s">
        <v>9</v>
      </c>
      <c r="B3" s="24" t="s">
        <v>11</v>
      </c>
      <c r="C3" t="s">
        <v>10</v>
      </c>
      <c r="D3" t="s">
        <v>42</v>
      </c>
      <c r="E3" t="s">
        <v>317</v>
      </c>
      <c r="F3" t="s">
        <v>12</v>
      </c>
      <c r="J3" t="s">
        <v>43</v>
      </c>
      <c r="K3" t="s">
        <v>44</v>
      </c>
      <c r="M3" t="s">
        <v>35</v>
      </c>
      <c r="N3">
        <v>0</v>
      </c>
      <c r="P3" t="s">
        <v>39</v>
      </c>
      <c r="Q3" t="s">
        <v>44</v>
      </c>
    </row>
    <row r="4" spans="1:17" x14ac:dyDescent="0.25">
      <c r="A4" s="23">
        <v>43850</v>
      </c>
      <c r="B4" s="24">
        <v>55</v>
      </c>
      <c r="C4" t="s">
        <v>35</v>
      </c>
      <c r="D4" t="s">
        <v>43</v>
      </c>
      <c r="E4" t="s">
        <v>50</v>
      </c>
      <c r="F4" t="s">
        <v>319</v>
      </c>
      <c r="M4" t="s">
        <v>36</v>
      </c>
      <c r="N4">
        <v>0</v>
      </c>
      <c r="P4" t="s">
        <v>38</v>
      </c>
      <c r="Q4" t="s">
        <v>44</v>
      </c>
    </row>
    <row r="5" spans="1:17" x14ac:dyDescent="0.25">
      <c r="A5" s="23">
        <v>43835</v>
      </c>
      <c r="B5" s="24">
        <v>500</v>
      </c>
      <c r="C5" t="s">
        <v>39</v>
      </c>
      <c r="D5" t="s">
        <v>44</v>
      </c>
      <c r="E5" t="s">
        <v>48</v>
      </c>
      <c r="F5" t="s">
        <v>319</v>
      </c>
      <c r="M5" t="s">
        <v>34</v>
      </c>
      <c r="N5">
        <v>0</v>
      </c>
    </row>
    <row r="6" spans="1:17" x14ac:dyDescent="0.25">
      <c r="A6" s="23">
        <v>43845</v>
      </c>
      <c r="B6" s="24">
        <v>150</v>
      </c>
      <c r="C6" t="s">
        <v>36</v>
      </c>
      <c r="D6" t="s">
        <v>43</v>
      </c>
      <c r="E6" t="s">
        <v>45</v>
      </c>
      <c r="F6" t="s">
        <v>320</v>
      </c>
    </row>
    <row r="7" spans="1:17" x14ac:dyDescent="0.25">
      <c r="A7" s="23">
        <v>43966</v>
      </c>
      <c r="B7" s="24">
        <v>25</v>
      </c>
      <c r="C7" t="s">
        <v>38</v>
      </c>
      <c r="D7" t="s">
        <v>44</v>
      </c>
      <c r="E7" t="s">
        <v>318</v>
      </c>
      <c r="F7" t="s">
        <v>321</v>
      </c>
    </row>
    <row r="8" spans="1:17" x14ac:dyDescent="0.25">
      <c r="A8" s="23">
        <v>43845</v>
      </c>
      <c r="B8" s="24">
        <v>15</v>
      </c>
      <c r="C8" t="s">
        <v>38</v>
      </c>
      <c r="D8" t="s">
        <v>44</v>
      </c>
      <c r="E8" t="s">
        <v>48</v>
      </c>
      <c r="F8" t="s">
        <v>322</v>
      </c>
    </row>
    <row r="9" spans="1:17" x14ac:dyDescent="0.25">
      <c r="A9" s="23">
        <v>43845</v>
      </c>
      <c r="B9" s="24">
        <v>600</v>
      </c>
      <c r="C9" t="s">
        <v>34</v>
      </c>
      <c r="D9" t="s">
        <v>43</v>
      </c>
      <c r="E9" t="s">
        <v>48</v>
      </c>
      <c r="F9" t="s">
        <v>323</v>
      </c>
    </row>
    <row r="10" spans="1:17" x14ac:dyDescent="0.25">
      <c r="A10" s="23">
        <v>45672</v>
      </c>
      <c r="B10" s="24">
        <v>50</v>
      </c>
      <c r="C10" t="s">
        <v>40</v>
      </c>
      <c r="E10" t="s">
        <v>47</v>
      </c>
      <c r="F10" t="s">
        <v>328</v>
      </c>
    </row>
    <row r="11" spans="1:17" x14ac:dyDescent="0.25">
      <c r="A11" s="23">
        <v>43938</v>
      </c>
      <c r="B11" s="24">
        <v>30</v>
      </c>
      <c r="C11" t="s">
        <v>40</v>
      </c>
      <c r="E11" t="s">
        <v>47</v>
      </c>
      <c r="F11" t="s">
        <v>329</v>
      </c>
    </row>
    <row r="12" spans="1:17" x14ac:dyDescent="0.25">
      <c r="C12" t="s">
        <v>37</v>
      </c>
      <c r="E12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ERP</vt:lpstr>
      <vt:lpstr>Invoices</vt:lpstr>
      <vt:lpstr>Lists</vt:lpstr>
      <vt:lpstr>Invoice Items</vt:lpstr>
      <vt:lpstr>Purchases</vt:lpstr>
      <vt:lpstr>PurchItems</vt:lpstr>
      <vt:lpstr>Customers</vt:lpstr>
      <vt:lpstr>Inventory Items</vt:lpstr>
      <vt:lpstr>Transactions</vt:lpstr>
      <vt:lpstr>Criteria</vt:lpstr>
      <vt:lpstr>EndDate</vt:lpstr>
      <vt:lpstr>Invoices!Extract</vt:lpstr>
      <vt:lpstr>Lists!Extract</vt:lpstr>
      <vt:lpstr>Transactions!Extract</vt:lpstr>
      <vt:lpstr>StartDate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Camaren J Rogers</dc:creator>
  <cp:lastModifiedBy>Camaren Rogers</cp:lastModifiedBy>
  <dcterms:created xsi:type="dcterms:W3CDTF">2025-04-16T09:33:13Z</dcterms:created>
  <dcterms:modified xsi:type="dcterms:W3CDTF">2025-04-23T13:40:11Z</dcterms:modified>
</cp:coreProperties>
</file>